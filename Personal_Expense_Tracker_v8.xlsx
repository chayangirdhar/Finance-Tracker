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April" sheetId="3" state="visible" r:id="rId3"/>
    <sheet xmlns:r="http://schemas.openxmlformats.org/officeDocument/2006/relationships" name="May" sheetId="4" state="visible" r:id="rId4"/>
    <sheet xmlns:r="http://schemas.openxmlformats.org/officeDocument/2006/relationships" name="June" sheetId="5" state="visible" r:id="rId5"/>
    <sheet xmlns:r="http://schemas.openxmlformats.org/officeDocument/2006/relationships" name="July" sheetId="6" state="visible" r:id="rId6"/>
    <sheet xmlns:r="http://schemas.openxmlformats.org/officeDocument/2006/relationships" name="August" sheetId="7" state="visible" r:id="rId7"/>
    <sheet xmlns:r="http://schemas.openxmlformats.org/officeDocument/2006/relationships" name="September" sheetId="8" state="visible" r:id="rId8"/>
    <sheet xmlns:r="http://schemas.openxmlformats.org/officeDocument/2006/relationships" name="October" sheetId="9" state="visible" r:id="rId9"/>
    <sheet xmlns:r="http://schemas.openxmlformats.org/officeDocument/2006/relationships" name="November" sheetId="10" state="visible" r:id="rId10"/>
    <sheet xmlns:r="http://schemas.openxmlformats.org/officeDocument/2006/relationships" name="December" sheetId="11" state="visible" r:id="rId11"/>
    <sheet xmlns:r="http://schemas.openxmlformats.org/officeDocument/2006/relationships" name="January" sheetId="12" state="visible" r:id="rId12"/>
    <sheet xmlns:r="http://schemas.openxmlformats.org/officeDocument/2006/relationships" name="February" sheetId="13" state="visible" r:id="rId13"/>
    <sheet xmlns:r="http://schemas.openxmlformats.org/officeDocument/2006/relationships" name="March" sheetId="14" state="visible" r:id="rId14"/>
    <sheet xmlns:r="http://schemas.openxmlformats.org/officeDocument/2006/relationships" name="Credit Cards" sheetId="15" state="visible" r:id="rId15"/>
    <sheet xmlns:r="http://schemas.openxmlformats.org/officeDocument/2006/relationships" name="Savings Accounts" sheetId="16" state="visible" r:id="rId16"/>
    <sheet xmlns:r="http://schemas.openxmlformats.org/officeDocument/2006/relationships" name="Analytics" sheetId="17" state="visible" r:id="rId17"/>
    <sheet xmlns:r="http://schemas.openxmlformats.org/officeDocument/2006/relationships" name="_Lists" sheetId="18" state="hidden" r:id="rId1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DD-MMM-YYYY HH:MM"/>
    <numFmt numFmtId="166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color rgb="000D47A1"/>
      <sz val="10"/>
    </font>
    <font>
      <name val="Arial"/>
      <b val="1"/>
      <color rgb="00FFFFFF"/>
      <sz val="13"/>
    </font>
    <font>
      <name val="Arial"/>
      <color rgb="00000000"/>
      <sz val="10"/>
    </font>
    <font>
      <name val="Arial"/>
      <color rgb="001B6CA8"/>
      <sz val="10"/>
    </font>
    <font>
      <name val="Arial"/>
      <b val="1"/>
      <color rgb="00000000"/>
      <sz val="10"/>
    </font>
    <font>
      <name val="Arial"/>
      <b val="1"/>
    </font>
    <font>
      <name val="Arial"/>
      <color rgb="00FFFFFF"/>
      <sz val="10"/>
    </font>
    <font>
      <name val="Arial"/>
      <b val="1"/>
      <color rgb="00FFFFFF"/>
    </font>
    <font>
      <name val="Arial"/>
      <i val="1"/>
      <color rgb="00595959"/>
      <sz val="9"/>
    </font>
    <font>
      <name val="Arial"/>
      <b val="1"/>
      <color rgb="001F3864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0" fontId="11" fillId="2" borderId="0" pivotButton="0" quotePrefix="0" xfId="0"/>
    <xf numFmtId="164" fontId="10" fillId="2" borderId="1" applyAlignment="1" pivotButton="0" quotePrefix="0" xfId="0">
      <alignment horizontal="right" vertical="center"/>
    </xf>
    <xf numFmtId="0" fontId="0" fillId="2" borderId="0" pivotButton="0" quotePrefix="0" xfId="0"/>
    <xf numFmtId="0" fontId="12" fillId="8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 wrapText="1"/>
    </xf>
    <xf numFmtId="0" fontId="13" fillId="3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6" fontId="6" fillId="6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 vertical="center"/>
    </xf>
    <xf numFmtId="166" fontId="10" fillId="2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right" vertical="center"/>
    </xf>
  </cellXfs>
  <cellStyles count="1">
    <cellStyle name="Normal" xfId="0" builtinId="0" hidden="0"/>
  </cellStyles>
  <dxfs count="10">
    <dxf>
      <fill>
        <patternFill patternType="solid">
          <fgColor rgb="00FFE4B5"/>
          <bgColor rgb="00FFE4B5"/>
        </patternFill>
      </fill>
    </dxf>
    <dxf>
      <fill>
        <patternFill patternType="solid">
          <fgColor rgb="00FFF9C4"/>
          <bgColor rgb="00FFF9C4"/>
        </patternFill>
      </fill>
    </dxf>
    <dxf>
      <fill>
        <patternFill patternType="solid">
          <fgColor rgb="00E3F2FD"/>
          <bgColor rgb="00E3F2FD"/>
        </patternFill>
      </fill>
    </dxf>
    <dxf>
      <fill>
        <patternFill patternType="solid">
          <fgColor rgb="00F3E5F5"/>
          <bgColor rgb="00F3E5F5"/>
        </patternFill>
      </fill>
    </dxf>
    <dxf>
      <fill>
        <patternFill patternType="solid">
          <fgColor rgb="00FCE4EC"/>
          <bgColor rgb="00FCE4EC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C8E6C9"/>
          <bgColor rgb="00C8E6C9"/>
        </patternFill>
      </fill>
    </dxf>
    <dxf>
      <fill>
        <patternFill patternType="solid">
          <fgColor rgb="00B2DFDB"/>
          <bgColor rgb="00B2DFDB"/>
        </patternFill>
      </fill>
    </dxf>
    <dxf>
      <fill>
        <patternFill patternType="solid">
          <fgColor rgb="00FFF3E0"/>
          <bgColor rgb="00FFF3E0"/>
        </patternFill>
      </fill>
    </dxf>
    <dxf>
      <fill>
        <patternFill patternType="solid">
          <fgColor rgb="00F5F5F5"/>
          <bgColor rgb="00F5F5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8" customWidth="1" min="3" max="3"/>
    <col width="28" customWidth="1" min="4" max="4"/>
    <col width="8" customWidth="1" min="5" max="5"/>
    <col width="28" customWidth="1" min="6" max="6"/>
    <col width="18" customWidth="1" min="7" max="7"/>
  </cols>
  <sheetData>
    <row r="1" ht="36" customHeight="1">
      <c r="A1" s="1" t="inlineStr">
        <is>
          <t>⚙️  SETUP — Accounts, Cards &amp; Reference Lists</t>
        </is>
      </c>
    </row>
    <row r="3" ht="24" customHeight="1">
      <c r="A3" s="2" t="inlineStr">
        <is>
          <t>💰  INCOME SOURCES</t>
        </is>
      </c>
      <c r="D3" s="2" t="inlineStr">
        <is>
          <t>💳  CREDIT CARDS</t>
        </is>
      </c>
    </row>
    <row r="4">
      <c r="A4" s="3" t="inlineStr">
        <is>
          <t>Account / Source Name</t>
        </is>
      </c>
      <c r="B4" s="3" t="inlineStr">
        <is>
          <t>Monthly Amount (₹)</t>
        </is>
      </c>
      <c r="D4" s="3" t="inlineStr">
        <is>
          <t>Card Name</t>
        </is>
      </c>
      <c r="E4" s="3" t="inlineStr">
        <is>
          <t>Credit Limit (₹)</t>
        </is>
      </c>
      <c r="F4" s="3" t="inlineStr">
        <is>
          <t>Opening Dues (₹)</t>
        </is>
      </c>
    </row>
    <row r="5">
      <c r="A5" s="4" t="inlineStr">
        <is>
          <t>Salary</t>
        </is>
      </c>
      <c r="B5" s="5" t="n"/>
      <c r="D5" s="4" t="n"/>
      <c r="E5" s="5" t="n"/>
      <c r="F5" s="5" t="n"/>
    </row>
    <row r="6">
      <c r="A6" s="4" t="n"/>
      <c r="B6" s="5" t="n"/>
      <c r="D6" s="4" t="n"/>
      <c r="E6" s="5" t="n"/>
      <c r="F6" s="5" t="n"/>
    </row>
    <row r="7">
      <c r="A7" s="4" t="n"/>
      <c r="B7" s="5" t="n"/>
      <c r="D7" s="4" t="n"/>
      <c r="E7" s="5" t="n"/>
      <c r="F7" s="5" t="n"/>
    </row>
    <row r="8">
      <c r="A8" s="4" t="n"/>
      <c r="B8" s="5" t="n"/>
      <c r="D8" s="4" t="n"/>
      <c r="E8" s="5" t="n"/>
      <c r="F8" s="5" t="n"/>
    </row>
    <row r="9">
      <c r="A9" s="4" t="n"/>
      <c r="B9" s="5" t="n"/>
      <c r="D9" s="4" t="n"/>
      <c r="E9" s="5" t="n"/>
      <c r="F9" s="5" t="n"/>
    </row>
    <row r="11" ht="24" customHeight="1">
      <c r="A11" s="2" t="inlineStr">
        <is>
          <t>🏦  SAVINGS ACCOUNTS</t>
        </is>
      </c>
      <c r="D11" s="2" t="inlineStr">
        <is>
          <t>📋  CATEGORY → SUB-CATEGORY REFERENCE</t>
        </is>
      </c>
    </row>
    <row r="12">
      <c r="A12" s="3" t="inlineStr">
        <is>
          <t>Account Name</t>
        </is>
      </c>
      <c r="B12" s="3" t="inlineStr">
        <is>
          <t>Opening Balance (₹)</t>
        </is>
      </c>
      <c r="D12" s="3" t="inlineStr">
        <is>
          <t>Category</t>
        </is>
      </c>
      <c r="F12" s="3" t="inlineStr">
        <is>
          <t>Sub-Categories</t>
        </is>
      </c>
    </row>
    <row r="13">
      <c r="A13" s="4" t="n"/>
      <c r="B13" s="5" t="n"/>
      <c r="D13" s="4" t="inlineStr">
        <is>
          <t>Fixed Bills</t>
        </is>
      </c>
      <c r="F13" s="4" t="inlineStr">
        <is>
          <t>Rent / Home Loan EMI / Electricity / Internet / WiFi / Mobile Recharge / OTT Subscriptions / Insurance Premium / Gym / Fitness / Other Bill</t>
        </is>
      </c>
    </row>
    <row r="14">
      <c r="A14" s="4" t="n"/>
      <c r="B14" s="5" t="n"/>
      <c r="D14" s="4" t="inlineStr">
        <is>
          <t>Food &amp; Dining</t>
        </is>
      </c>
      <c r="F14" s="4" t="inlineStr">
        <is>
          <t>Restaurants / Swiggy / Zomato / Cafes / Street Food / Other</t>
        </is>
      </c>
    </row>
    <row r="15">
      <c r="A15" s="4" t="n"/>
      <c r="B15" s="5" t="n"/>
      <c r="D15" s="4" t="inlineStr">
        <is>
          <t>Transport &amp; Fuel</t>
        </is>
      </c>
      <c r="F15" s="4" t="inlineStr">
        <is>
          <t>Fuel / Auto / Cab / Metro / Bus / Parking / Vehicle Maintenance / Other</t>
        </is>
      </c>
    </row>
    <row r="16">
      <c r="A16" s="4" t="n"/>
      <c r="B16" s="5" t="n"/>
      <c r="D16" s="4" t="inlineStr">
        <is>
          <t>Shopping &amp; Clothing</t>
        </is>
      </c>
      <c r="F16" s="4" t="inlineStr">
        <is>
          <t>Clothing / Electronics / Home &amp; Decor / Online Shopping / Other</t>
        </is>
      </c>
    </row>
    <row r="17">
      <c r="A17" s="4" t="n"/>
      <c r="B17" s="5" t="n"/>
      <c r="D17" s="4" t="inlineStr">
        <is>
          <t>Entertainment &amp; OTT</t>
        </is>
      </c>
      <c r="F17" s="4" t="inlineStr">
        <is>
          <t>Movies / Events / OTT Subscriptions / Gaming / Other</t>
        </is>
      </c>
    </row>
    <row r="18">
      <c r="D18" s="4" t="inlineStr">
        <is>
          <t>Groceries</t>
        </is>
      </c>
      <c r="F18" s="4" t="inlineStr">
        <is>
          <t>Vegetables &amp; Fruits / Dairy / Supermarket / Kirana Store / Other</t>
        </is>
      </c>
    </row>
    <row r="19">
      <c r="D19" s="4" t="inlineStr">
        <is>
          <t>Investment</t>
        </is>
      </c>
      <c r="F19" s="4" t="inlineStr">
        <is>
          <t>SIP / Mutual Funds / Fixed Deposit / Gold / Others / Stocks / PPF / NPS / Other Investment</t>
        </is>
      </c>
    </row>
    <row r="20">
      <c r="D20" s="4" t="inlineStr">
        <is>
          <t>Added to Savings</t>
        </is>
      </c>
      <c r="F20" s="4" t="inlineStr">
        <is>
          <t>(your savings account names)</t>
        </is>
      </c>
    </row>
    <row r="21">
      <c r="D21" s="4" t="inlineStr">
        <is>
          <t>Credit Card Payment</t>
        </is>
      </c>
      <c r="F21" s="4" t="inlineStr">
        <is>
          <t>Full Payment / Minimum Due / Partial Payment</t>
        </is>
      </c>
    </row>
    <row r="22">
      <c r="D22" s="4" t="inlineStr">
        <is>
          <t>Miscellaneous</t>
        </is>
      </c>
      <c r="F22" s="4" t="inlineStr">
        <is>
          <t>Medical / Education / Gifts / Charity / Other</t>
        </is>
      </c>
    </row>
  </sheetData>
  <mergeCells count="5">
    <mergeCell ref="A1:F1"/>
    <mergeCell ref="A3:B3"/>
    <mergeCell ref="A11:B11"/>
    <mergeCell ref="D3:G3"/>
    <mergeCell ref="D11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0" customWidth="1" min="4" max="4"/>
    <col width="18" customWidth="1" min="5" max="5"/>
  </cols>
  <sheetData>
    <row r="1" ht="34" customHeight="1">
      <c r="A1" s="6" t="inlineStr">
        <is>
          <t>💰  INCOME TRACKER  —  Enter salary once in Setup; log extra income per month here</t>
        </is>
      </c>
    </row>
    <row r="3">
      <c r="A3" s="3" t="inlineStr">
        <is>
          <t>Month</t>
        </is>
      </c>
      <c r="B3" s="3" t="inlineStr">
        <is>
          <t>Salary (₹)</t>
        </is>
      </c>
      <c r="C3" s="3" t="inlineStr">
        <is>
          <t>Extra Income (₹)</t>
        </is>
      </c>
      <c r="D3" s="3" t="inlineStr">
        <is>
          <t>Notes</t>
        </is>
      </c>
      <c r="E3" s="3" t="inlineStr">
        <is>
          <t>Total Income (₹)</t>
        </is>
      </c>
    </row>
    <row r="4">
      <c r="A4" s="7" t="inlineStr">
        <is>
          <t>April</t>
        </is>
      </c>
      <c r="B4" s="8">
        <f>Setup!B5</f>
        <v/>
      </c>
      <c r="C4" s="5" t="n"/>
      <c r="D4" s="4" t="n"/>
      <c r="E4" s="9">
        <f>B4+C4</f>
        <v/>
      </c>
    </row>
    <row r="5">
      <c r="A5" s="7" t="inlineStr">
        <is>
          <t>May</t>
        </is>
      </c>
      <c r="B5" s="8">
        <f>Setup!B5</f>
        <v/>
      </c>
      <c r="C5" s="5" t="n"/>
      <c r="D5" s="4" t="n"/>
      <c r="E5" s="9">
        <f>B5+C5</f>
        <v/>
      </c>
    </row>
    <row r="6">
      <c r="A6" s="7" t="inlineStr">
        <is>
          <t>June</t>
        </is>
      </c>
      <c r="B6" s="8">
        <f>Setup!B5</f>
        <v/>
      </c>
      <c r="C6" s="5" t="n"/>
      <c r="D6" s="4" t="n"/>
      <c r="E6" s="9">
        <f>B6+C6</f>
        <v/>
      </c>
    </row>
    <row r="7">
      <c r="A7" s="7" t="inlineStr">
        <is>
          <t>July</t>
        </is>
      </c>
      <c r="B7" s="8">
        <f>Setup!B5</f>
        <v/>
      </c>
      <c r="C7" s="5" t="n"/>
      <c r="D7" s="4" t="n"/>
      <c r="E7" s="9">
        <f>B7+C7</f>
        <v/>
      </c>
    </row>
    <row r="8">
      <c r="A8" s="7" t="inlineStr">
        <is>
          <t>August</t>
        </is>
      </c>
      <c r="B8" s="8">
        <f>Setup!B5</f>
        <v/>
      </c>
      <c r="C8" s="5" t="n"/>
      <c r="D8" s="4" t="n"/>
      <c r="E8" s="9">
        <f>B8+C8</f>
        <v/>
      </c>
    </row>
    <row r="9">
      <c r="A9" s="7" t="inlineStr">
        <is>
          <t>September</t>
        </is>
      </c>
      <c r="B9" s="8">
        <f>Setup!B5</f>
        <v/>
      </c>
      <c r="C9" s="5" t="n"/>
      <c r="D9" s="4" t="n"/>
      <c r="E9" s="9">
        <f>B9+C9</f>
        <v/>
      </c>
    </row>
    <row r="10">
      <c r="A10" s="7" t="inlineStr">
        <is>
          <t>October</t>
        </is>
      </c>
      <c r="B10" s="8">
        <f>Setup!B5</f>
        <v/>
      </c>
      <c r="C10" s="5" t="n"/>
      <c r="D10" s="4" t="n"/>
      <c r="E10" s="9">
        <f>B10+C10</f>
        <v/>
      </c>
    </row>
    <row r="11">
      <c r="A11" s="7" t="inlineStr">
        <is>
          <t>November</t>
        </is>
      </c>
      <c r="B11" s="8">
        <f>Setup!B5</f>
        <v/>
      </c>
      <c r="C11" s="5" t="n"/>
      <c r="D11" s="4" t="n"/>
      <c r="E11" s="9">
        <f>B11+C11</f>
        <v/>
      </c>
    </row>
    <row r="12">
      <c r="A12" s="7" t="inlineStr">
        <is>
          <t>December</t>
        </is>
      </c>
      <c r="B12" s="8">
        <f>Setup!B5</f>
        <v/>
      </c>
      <c r="C12" s="5" t="n"/>
      <c r="D12" s="4" t="n"/>
      <c r="E12" s="9">
        <f>B12+C12</f>
        <v/>
      </c>
    </row>
    <row r="13">
      <c r="A13" s="7" t="inlineStr">
        <is>
          <t>January</t>
        </is>
      </c>
      <c r="B13" s="8">
        <f>Setup!B5</f>
        <v/>
      </c>
      <c r="C13" s="5" t="n"/>
      <c r="D13" s="4" t="n"/>
      <c r="E13" s="9">
        <f>B13+C13</f>
        <v/>
      </c>
    </row>
    <row r="14">
      <c r="A14" s="7" t="inlineStr">
        <is>
          <t>February</t>
        </is>
      </c>
      <c r="B14" s="8">
        <f>Setup!B5</f>
        <v/>
      </c>
      <c r="C14" s="5" t="n"/>
      <c r="D14" s="4" t="n"/>
      <c r="E14" s="9">
        <f>B14+C14</f>
        <v/>
      </c>
    </row>
    <row r="15">
      <c r="A15" s="7" t="inlineStr">
        <is>
          <t>March</t>
        </is>
      </c>
      <c r="B15" s="8">
        <f>Setup!B5</f>
        <v/>
      </c>
      <c r="C15" s="5" t="n"/>
      <c r="D15" s="4" t="n"/>
      <c r="E15" s="9">
        <f>B15+C15</f>
        <v/>
      </c>
    </row>
    <row r="16">
      <c r="A16" s="10" t="inlineStr">
        <is>
          <t>ANNUAL TOTAL</t>
        </is>
      </c>
      <c r="B16" s="11">
        <f>SUM(B4:B15)</f>
        <v/>
      </c>
      <c r="C16" s="11">
        <f>SUM(C4:C15)</f>
        <v/>
      </c>
      <c r="D16" s="12" t="n"/>
      <c r="E16" s="11">
        <f>SUM(E4:E15)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22" customWidth="1" min="4" max="4"/>
    <col width="22" customWidth="1" min="5" max="5"/>
    <col width="14" customWidth="1" min="6" max="6"/>
    <col width="20" customWidth="1" min="7" max="7"/>
    <col width="20" customWidth="1" min="8" max="8"/>
    <col width="22" customWidth="1" min="9" max="9"/>
    <col width="22" customWidth="1" min="10" max="10"/>
    <col width="2" customWidth="1" min="11" max="11"/>
    <col width="26" customWidth="1" min="12" max="12"/>
    <col width="16" customWidth="1" min="13" max="13"/>
  </cols>
  <sheetData>
    <row r="1" ht="36" customHeight="1">
      <c r="A1" s="1" t="inlineStr">
        <is>
          <t>📝  APRIL — EXPENSE LOG</t>
        </is>
      </c>
    </row>
    <row r="2" ht="32" customHeight="1">
      <c r="A2" s="13" t="inlineStr">
        <is>
          <t>ℹ️  Date is DateTime. Category dropdown → Sub-category changes automatically. 'Added to Savings' → pick your saving account in Sub-category. CC spend → pick card in 'CC Name'. CC payment → increases card limit.</t>
        </is>
      </c>
    </row>
    <row r="4" ht="28" customHeight="1">
      <c r="A4" s="3" t="inlineStr">
        <is>
          <t>#</t>
        </is>
      </c>
      <c r="B4" s="3" t="inlineStr">
        <is>
          <t>Date &amp; Time</t>
        </is>
      </c>
      <c r="C4" s="3" t="inlineStr">
        <is>
          <t>Description</t>
        </is>
      </c>
      <c r="D4" s="3" t="inlineStr">
        <is>
          <t>Category</t>
        </is>
      </c>
      <c r="E4" s="3" t="inlineStr">
        <is>
          <t>Sub-category</t>
        </is>
      </c>
      <c r="F4" s="3" t="inlineStr">
        <is>
          <t>Amount (₹)</t>
        </is>
      </c>
      <c r="G4" s="3" t="inlineStr">
        <is>
          <t>Paid From</t>
        </is>
      </c>
      <c r="H4" s="3" t="inlineStr">
        <is>
          <t>CC Name</t>
        </is>
      </c>
      <c r="I4" s="3" t="inlineStr">
        <is>
          <t>Account</t>
        </is>
      </c>
      <c r="J4" s="3" t="inlineStr">
        <is>
          <t>Notes</t>
        </is>
      </c>
      <c r="L4" s="3" t="inlineStr">
        <is>
          <t>📊  April Summary</t>
        </is>
      </c>
      <c r="M4" s="3" t="inlineStr">
        <is>
          <t>Amount (₹)</t>
        </is>
      </c>
    </row>
    <row r="5" ht="22" customHeight="1">
      <c r="A5" s="14">
        <f>IF(F5&lt;&gt;"",ROW()-4,"")</f>
        <v/>
      </c>
      <c r="B5" s="15" t="n"/>
      <c r="C5" s="4" t="n"/>
      <c r="D5" s="4" t="n"/>
      <c r="E5" s="4" t="n"/>
      <c r="F5" s="16" t="n"/>
      <c r="G5" s="4" t="n"/>
      <c r="H5" s="4" t="n"/>
      <c r="I5" s="4" t="n"/>
      <c r="J5" s="4" t="n"/>
      <c r="L5" s="17" t="inlineStr">
        <is>
          <t>Total Expenses</t>
        </is>
      </c>
      <c r="M5" s="9">
        <f>F256</f>
        <v/>
      </c>
    </row>
    <row r="6" ht="22" customHeight="1">
      <c r="A6" s="18">
        <f>IF(F6&lt;&gt;"",ROW()-4,"")</f>
        <v/>
      </c>
      <c r="B6" s="15" t="n"/>
      <c r="C6" s="4" t="n"/>
      <c r="D6" s="4" t="n"/>
      <c r="E6" s="4" t="n"/>
      <c r="F6" s="16" t="n"/>
      <c r="G6" s="4" t="n"/>
      <c r="H6" s="4" t="n"/>
      <c r="I6" s="4" t="n"/>
      <c r="J6" s="4" t="n"/>
      <c r="L6" s="17" t="inlineStr">
        <is>
          <t>Income This Month</t>
        </is>
      </c>
      <c r="M6" s="9">
        <f>Income!E4</f>
        <v/>
      </c>
    </row>
    <row r="7" ht="22" customHeight="1">
      <c r="A7" s="14">
        <f>IF(F7&lt;&gt;"",ROW()-4,"")</f>
        <v/>
      </c>
      <c r="B7" s="15" t="n"/>
      <c r="C7" s="4" t="n"/>
      <c r="D7" s="4" t="n"/>
      <c r="E7" s="4" t="n"/>
      <c r="F7" s="16" t="n"/>
      <c r="G7" s="4" t="n"/>
      <c r="H7" s="4" t="n"/>
      <c r="I7" s="4" t="n"/>
      <c r="J7" s="4" t="n"/>
      <c r="L7" s="17" t="inlineStr">
        <is>
          <t>Net This Month</t>
        </is>
      </c>
      <c r="M7" s="9">
        <f>M6-M5</f>
        <v/>
      </c>
    </row>
    <row r="8" ht="22" customHeight="1">
      <c r="A8" s="18">
        <f>IF(F8&lt;&gt;"",ROW()-4,"")</f>
        <v/>
      </c>
      <c r="B8" s="15" t="n"/>
      <c r="C8" s="4" t="n"/>
      <c r="D8" s="4" t="n"/>
      <c r="E8" s="4" t="n"/>
      <c r="F8" s="16" t="n"/>
      <c r="G8" s="4" t="n"/>
      <c r="H8" s="4" t="n"/>
      <c r="I8" s="4" t="n"/>
      <c r="J8" s="4" t="n"/>
      <c r="L8" s="17" t="inlineStr">
        <is>
          <t>Savings 1 (this month)</t>
        </is>
      </c>
      <c r="M8" s="9">
        <f>IF(Setup!A13&lt;&gt;"",SUMIFS(F5:F255,D5:D255,"Added to Savings",I5:I255,Setup!A13)-SUMIFS(F5:F255,G5:G255,Setup!A13),"")</f>
        <v/>
      </c>
    </row>
    <row r="9" ht="22" customHeight="1">
      <c r="A9" s="14">
        <f>IF(F9&lt;&gt;"",ROW()-4,"")</f>
        <v/>
      </c>
      <c r="B9" s="15" t="n"/>
      <c r="C9" s="4" t="n"/>
      <c r="D9" s="4" t="n"/>
      <c r="E9" s="4" t="n"/>
      <c r="F9" s="16" t="n"/>
      <c r="G9" s="4" t="n"/>
      <c r="H9" s="4" t="n"/>
      <c r="I9" s="4" t="n"/>
      <c r="J9" s="4" t="n"/>
      <c r="L9" s="17" t="inlineStr">
        <is>
          <t>Savings 1 (balance)</t>
        </is>
      </c>
      <c r="M9" s="9">
        <f>IF(Setup!A13&lt;&gt;"",Setup!B13+(SUMIFS('April'!F5:F64,'April'!D5:D64,"Added to Savings",'April'!I5:I64,Setup!A13))-(SUMIFS('April'!F5:F64,'April'!G5:G64,Setup!A13)),"")</f>
        <v/>
      </c>
    </row>
    <row r="10" ht="22" customHeight="1">
      <c r="A10" s="18">
        <f>IF(F10&lt;&gt;"",ROW()-4,"")</f>
        <v/>
      </c>
      <c r="B10" s="15" t="n"/>
      <c r="C10" s="4" t="n"/>
      <c r="D10" s="4" t="n"/>
      <c r="E10" s="4" t="n"/>
      <c r="F10" s="16" t="n"/>
      <c r="G10" s="4" t="n"/>
      <c r="H10" s="4" t="n"/>
      <c r="I10" s="4" t="n"/>
      <c r="J10" s="4" t="n"/>
      <c r="L10" s="17" t="inlineStr">
        <is>
          <t>Savings 2 (this month)</t>
        </is>
      </c>
      <c r="M10" s="9">
        <f>IF(Setup!A14&lt;&gt;"",SUMIFS(F5:F255,D5:D255,"Added to Savings",I5:I255,Setup!A14)-SUMIFS(F5:F255,G5:G255,Setup!A14),"")</f>
        <v/>
      </c>
    </row>
    <row r="11" ht="22" customHeight="1">
      <c r="A11" s="14">
        <f>IF(F11&lt;&gt;"",ROW()-4,"")</f>
        <v/>
      </c>
      <c r="B11" s="15" t="n"/>
      <c r="C11" s="4" t="n"/>
      <c r="D11" s="4" t="n"/>
      <c r="E11" s="4" t="n"/>
      <c r="F11" s="16" t="n"/>
      <c r="G11" s="4" t="n"/>
      <c r="H11" s="4" t="n"/>
      <c r="I11" s="4" t="n"/>
      <c r="J11" s="4" t="n"/>
      <c r="L11" s="17" t="inlineStr">
        <is>
          <t>Savings 2 (balance)</t>
        </is>
      </c>
      <c r="M11" s="9">
        <f>IF(Setup!A14&lt;&gt;"",Setup!B14+(SUMIFS('April'!F5:F64,'April'!D5:D64,"Added to Savings",'April'!I5:I64,Setup!A14))-(SUMIFS('April'!F5:F64,'April'!G5:G64,Setup!A14)),"")</f>
        <v/>
      </c>
    </row>
    <row r="12" ht="22" customHeight="1">
      <c r="A12" s="18">
        <f>IF(F12&lt;&gt;"",ROW()-4,"")</f>
        <v/>
      </c>
      <c r="B12" s="15" t="n"/>
      <c r="C12" s="4" t="n"/>
      <c r="D12" s="4" t="n"/>
      <c r="E12" s="4" t="n"/>
      <c r="F12" s="16" t="n"/>
      <c r="G12" s="4" t="n"/>
      <c r="H12" s="4" t="n"/>
      <c r="I12" s="4" t="n"/>
      <c r="J12" s="4" t="n"/>
      <c r="L12" s="17" t="inlineStr">
        <is>
          <t>Savings 3 (this month)</t>
        </is>
      </c>
      <c r="M12" s="9">
        <f>IF(Setup!A15&lt;&gt;"",SUMIFS(F5:F255,D5:D255,"Added to Savings",I5:I255,Setup!A15)-SUMIFS(F5:F255,G5:G255,Setup!A15),"")</f>
        <v/>
      </c>
    </row>
    <row r="13" ht="22" customHeight="1">
      <c r="A13" s="14">
        <f>IF(F13&lt;&gt;"",ROW()-4,"")</f>
        <v/>
      </c>
      <c r="B13" s="15" t="n"/>
      <c r="C13" s="4" t="n"/>
      <c r="D13" s="4" t="n"/>
      <c r="E13" s="4" t="n"/>
      <c r="F13" s="16" t="n"/>
      <c r="G13" s="4" t="n"/>
      <c r="H13" s="4" t="n"/>
      <c r="I13" s="4" t="n"/>
      <c r="J13" s="4" t="n"/>
      <c r="L13" s="17" t="inlineStr">
        <is>
          <t>Savings 3 (balance)</t>
        </is>
      </c>
      <c r="M13" s="9">
        <f>IF(Setup!A15&lt;&gt;"",Setup!B15+(SUMIFS('April'!F5:F64,'April'!D5:D64,"Added to Savings",'April'!I5:I64,Setup!A15))-(SUMIFS('April'!F5:F64,'April'!G5:G64,Setup!A15)),"")</f>
        <v/>
      </c>
    </row>
    <row r="14" ht="22" customHeight="1">
      <c r="A14" s="18">
        <f>IF(F14&lt;&gt;"",ROW()-4,"")</f>
        <v/>
      </c>
      <c r="B14" s="15" t="n"/>
      <c r="C14" s="4" t="n"/>
      <c r="D14" s="4" t="n"/>
      <c r="E14" s="4" t="n"/>
      <c r="F14" s="16" t="n"/>
      <c r="G14" s="4" t="n"/>
      <c r="H14" s="4" t="n"/>
      <c r="I14" s="4" t="n"/>
      <c r="J14" s="4" t="n"/>
      <c r="L14" s="17" t="inlineStr">
        <is>
          <t>Savings 4 (this month)</t>
        </is>
      </c>
      <c r="M14" s="9">
        <f>IF(Setup!A16&lt;&gt;"",SUMIFS(F5:F255,D5:D255,"Added to Savings",I5:I255,Setup!A16)-SUMIFS(F5:F255,G5:G255,Setup!A16),"")</f>
        <v/>
      </c>
    </row>
    <row r="15" ht="22" customHeight="1">
      <c r="A15" s="14">
        <f>IF(F15&lt;&gt;"",ROW()-4,"")</f>
        <v/>
      </c>
      <c r="B15" s="15" t="n"/>
      <c r="C15" s="4" t="n"/>
      <c r="D15" s="4" t="n"/>
      <c r="E15" s="4" t="n"/>
      <c r="F15" s="16" t="n"/>
      <c r="G15" s="4" t="n"/>
      <c r="H15" s="4" t="n"/>
      <c r="I15" s="4" t="n"/>
      <c r="J15" s="4" t="n"/>
      <c r="L15" s="17" t="inlineStr">
        <is>
          <t>Savings 4 (balance)</t>
        </is>
      </c>
      <c r="M15" s="9">
        <f>IF(Setup!A16&lt;&gt;"",Setup!B16+(SUMIFS('April'!F5:F64,'April'!D5:D64,"Added to Savings",'April'!I5:I64,Setup!A16))-(SUMIFS('April'!F5:F64,'April'!G5:G64,Setup!A16)),"")</f>
        <v/>
      </c>
    </row>
    <row r="16" ht="22" customHeight="1">
      <c r="A16" s="18">
        <f>IF(F16&lt;&gt;"",ROW()-4,"")</f>
        <v/>
      </c>
      <c r="B16" s="15" t="n"/>
      <c r="C16" s="4" t="n"/>
      <c r="D16" s="4" t="n"/>
      <c r="E16" s="4" t="n"/>
      <c r="F16" s="16" t="n"/>
      <c r="G16" s="4" t="n"/>
      <c r="H16" s="4" t="n"/>
      <c r="I16" s="4" t="n"/>
      <c r="J16" s="4" t="n"/>
      <c r="L16" s="17" t="inlineStr">
        <is>
          <t>Savings 5 (this month)</t>
        </is>
      </c>
      <c r="M16" s="9">
        <f>IF(Setup!A17&lt;&gt;"",SUMIFS(F5:F255,D5:D255,"Added to Savings",I5:I255,Setup!A17)-SUMIFS(F5:F255,G5:G255,Setup!A17),"")</f>
        <v/>
      </c>
    </row>
    <row r="17" ht="22" customHeight="1">
      <c r="A17" s="14">
        <f>IF(F17&lt;&gt;"",ROW()-4,"")</f>
        <v/>
      </c>
      <c r="B17" s="15" t="n"/>
      <c r="C17" s="4" t="n"/>
      <c r="D17" s="4" t="n"/>
      <c r="E17" s="4" t="n"/>
      <c r="F17" s="16" t="n"/>
      <c r="G17" s="4" t="n"/>
      <c r="H17" s="4" t="n"/>
      <c r="I17" s="4" t="n"/>
      <c r="J17" s="4" t="n"/>
      <c r="L17" s="17" t="inlineStr">
        <is>
          <t>Savings 5 (balance)</t>
        </is>
      </c>
      <c r="M17" s="9">
        <f>IF(Setup!A17&lt;&gt;"",Setup!B17+(SUMIFS('April'!F5:F64,'April'!D5:D64,"Added to Savings",'April'!I5:I64,Setup!A17))-(SUMIFS('April'!F5:F64,'April'!G5:G64,Setup!A17)),"")</f>
        <v/>
      </c>
    </row>
    <row r="18" ht="22" customHeight="1">
      <c r="A18" s="18">
        <f>IF(F18&lt;&gt;"",ROW()-4,"")</f>
        <v/>
      </c>
      <c r="B18" s="15" t="n"/>
      <c r="C18" s="4" t="n"/>
      <c r="D18" s="4" t="n"/>
      <c r="E18" s="4" t="n"/>
      <c r="F18" s="16" t="n"/>
      <c r="G18" s="4" t="n"/>
      <c r="H18" s="4" t="n"/>
      <c r="I18" s="4" t="n"/>
      <c r="J18" s="4" t="n"/>
      <c r="L18" s="17" t="inlineStr">
        <is>
          <t>Fixed Bills Paid</t>
        </is>
      </c>
      <c r="M18" s="9">
        <f>SUMIF(D5:D255,"Fixed Bills",F5:F255)</f>
        <v/>
      </c>
    </row>
    <row r="19" ht="22" customHeight="1">
      <c r="A19" s="14">
        <f>IF(F19&lt;&gt;"",ROW()-4,"")</f>
        <v/>
      </c>
      <c r="B19" s="15" t="n"/>
      <c r="C19" s="4" t="n"/>
      <c r="D19" s="4" t="n"/>
      <c r="E19" s="4" t="n"/>
      <c r="F19" s="16" t="n"/>
      <c r="G19" s="4" t="n"/>
      <c r="H19" s="4" t="n"/>
      <c r="I19" s="4" t="n"/>
      <c r="J19" s="4" t="n"/>
      <c r="L19" s="17" t="inlineStr">
        <is>
          <t>Food &amp; Dining</t>
        </is>
      </c>
      <c r="M19" s="9">
        <f>SUMIF(D5:D255,"Food &amp; Dining",F5:F255)</f>
        <v/>
      </c>
    </row>
    <row r="20" ht="22" customHeight="1">
      <c r="A20" s="18">
        <f>IF(F20&lt;&gt;"",ROW()-4,"")</f>
        <v/>
      </c>
      <c r="B20" s="15" t="n"/>
      <c r="C20" s="4" t="n"/>
      <c r="D20" s="4" t="n"/>
      <c r="E20" s="4" t="n"/>
      <c r="F20" s="16" t="n"/>
      <c r="G20" s="4" t="n"/>
      <c r="H20" s="4" t="n"/>
      <c r="I20" s="4" t="n"/>
      <c r="J20" s="4" t="n"/>
      <c r="L20" s="17" t="inlineStr">
        <is>
          <t>Transport</t>
        </is>
      </c>
      <c r="M20" s="9">
        <f>SUMIF(D5:D255,"Transport &amp; Fuel",F5:F255)</f>
        <v/>
      </c>
    </row>
    <row r="21" ht="22" customHeight="1">
      <c r="A21" s="14">
        <f>IF(F21&lt;&gt;"",ROW()-4,"")</f>
        <v/>
      </c>
      <c r="B21" s="15" t="n"/>
      <c r="C21" s="4" t="n"/>
      <c r="D21" s="4" t="n"/>
      <c r="E21" s="4" t="n"/>
      <c r="F21" s="16" t="n"/>
      <c r="G21" s="4" t="n"/>
      <c r="H21" s="4" t="n"/>
      <c r="I21" s="4" t="n"/>
      <c r="J21" s="4" t="n"/>
      <c r="L21" s="17" t="inlineStr">
        <is>
          <t>Groceries</t>
        </is>
      </c>
      <c r="M21" s="9">
        <f>SUMIF(D5:D255,"Groceries",F5:F255)</f>
        <v/>
      </c>
    </row>
    <row r="22" ht="22" customHeight="1">
      <c r="A22" s="18">
        <f>IF(F22&lt;&gt;"",ROW()-4,"")</f>
        <v/>
      </c>
      <c r="B22" s="15" t="n"/>
      <c r="C22" s="4" t="n"/>
      <c r="D22" s="4" t="n"/>
      <c r="E22" s="4" t="n"/>
      <c r="F22" s="16" t="n"/>
      <c r="G22" s="4" t="n"/>
      <c r="H22" s="4" t="n"/>
      <c r="I22" s="4" t="n"/>
      <c r="J22" s="4" t="n"/>
      <c r="L22" s="17" t="inlineStr">
        <is>
          <t>Shopping</t>
        </is>
      </c>
      <c r="M22" s="9">
        <f>SUMIF(D5:D255,"Shopping &amp; Clothing",F5:F255)</f>
        <v/>
      </c>
    </row>
    <row r="23" ht="22" customHeight="1">
      <c r="A23" s="14">
        <f>IF(F23&lt;&gt;"",ROW()-4,"")</f>
        <v/>
      </c>
      <c r="B23" s="15" t="n"/>
      <c r="C23" s="4" t="n"/>
      <c r="D23" s="4" t="n"/>
      <c r="E23" s="4" t="n"/>
      <c r="F23" s="16" t="n"/>
      <c r="G23" s="4" t="n"/>
      <c r="H23" s="4" t="n"/>
      <c r="I23" s="4" t="n"/>
      <c r="J23" s="4" t="n"/>
      <c r="L23" s="17" t="inlineStr">
        <is>
          <t>Entertainment</t>
        </is>
      </c>
      <c r="M23" s="9">
        <f>SUMIF(D5:D255,"Entertainment &amp; OTT",F5:F255)</f>
        <v/>
      </c>
    </row>
    <row r="24" ht="22" customHeight="1">
      <c r="A24" s="18">
        <f>IF(F24&lt;&gt;"",ROW()-4,"")</f>
        <v/>
      </c>
      <c r="B24" s="15" t="n"/>
      <c r="C24" s="4" t="n"/>
      <c r="D24" s="4" t="n"/>
      <c r="E24" s="4" t="n"/>
      <c r="F24" s="16" t="n"/>
      <c r="G24" s="4" t="n"/>
      <c r="H24" s="4" t="n"/>
      <c r="I24" s="4" t="n"/>
      <c r="J24" s="4" t="n"/>
      <c r="L24" s="17" t="inlineStr">
        <is>
          <t>Investment</t>
        </is>
      </c>
      <c r="M24" s="9">
        <f>SUMIF(D5:D255,"Investment",F5:F255)</f>
        <v/>
      </c>
    </row>
    <row r="25" ht="22" customHeight="1">
      <c r="A25" s="14">
        <f>IF(F25&lt;&gt;"",ROW()-4,"")</f>
        <v/>
      </c>
      <c r="B25" s="15" t="n"/>
      <c r="C25" s="4" t="n"/>
      <c r="D25" s="4" t="n"/>
      <c r="E25" s="4" t="n"/>
      <c r="F25" s="16" t="n"/>
      <c r="G25" s="4" t="n"/>
      <c r="H25" s="4" t="n"/>
      <c r="I25" s="4" t="n"/>
      <c r="J25" s="4" t="n"/>
      <c r="L25" s="17" t="inlineStr">
        <is>
          <t>Added to Savings</t>
        </is>
      </c>
      <c r="M25" s="9">
        <f>SUMIF(D5:D255,"Added to Savings",F5:F255)</f>
        <v/>
      </c>
    </row>
    <row r="26" ht="22" customHeight="1">
      <c r="A26" s="18">
        <f>IF(F26&lt;&gt;"",ROW()-4,"")</f>
        <v/>
      </c>
      <c r="B26" s="15" t="n"/>
      <c r="C26" s="4" t="n"/>
      <c r="D26" s="4" t="n"/>
      <c r="E26" s="4" t="n"/>
      <c r="F26" s="16" t="n"/>
      <c r="G26" s="4" t="n"/>
      <c r="H26" s="4" t="n"/>
      <c r="I26" s="4" t="n"/>
      <c r="J26" s="4" t="n"/>
      <c r="L26" s="17" t="inlineStr">
        <is>
          <t>CC Payments</t>
        </is>
      </c>
      <c r="M26" s="9">
        <f>SUMIF(D5:D255,"Credit Card Payment",F5:F255)</f>
        <v/>
      </c>
    </row>
    <row r="27" ht="22" customHeight="1">
      <c r="A27" s="14">
        <f>IF(F27&lt;&gt;"",ROW()-4,"")</f>
        <v/>
      </c>
      <c r="B27" s="15" t="n"/>
      <c r="C27" s="4" t="n"/>
      <c r="D27" s="4" t="n"/>
      <c r="E27" s="4" t="n"/>
      <c r="F27" s="16" t="n"/>
      <c r="G27" s="4" t="n"/>
      <c r="H27" s="4" t="n"/>
      <c r="I27" s="4" t="n"/>
      <c r="J27" s="4" t="n"/>
      <c r="L27" s="17" t="inlineStr">
        <is>
          <t>Miscellaneous</t>
        </is>
      </c>
      <c r="M27" s="9">
        <f>SUMIF(D5:D255,"Miscellaneous",F5:F255)</f>
        <v/>
      </c>
    </row>
    <row r="28">
      <c r="A28" s="18">
        <f>IF(F28&lt;&gt;"",ROW()-4,"")</f>
        <v/>
      </c>
      <c r="B28" s="15" t="n"/>
      <c r="C28" s="4" t="n"/>
      <c r="D28" s="4" t="n"/>
      <c r="E28" s="4" t="n"/>
      <c r="F28" s="16" t="n"/>
      <c r="G28" s="4" t="n"/>
      <c r="H28" s="4" t="n"/>
      <c r="I28" s="4" t="n"/>
      <c r="J28" s="4" t="n"/>
    </row>
    <row r="29">
      <c r="A29" s="14">
        <f>IF(F29&lt;&gt;"",ROW()-4,"")</f>
        <v/>
      </c>
      <c r="B29" s="15" t="n"/>
      <c r="C29" s="4" t="n"/>
      <c r="D29" s="4" t="n"/>
      <c r="E29" s="4" t="n"/>
      <c r="F29" s="16" t="n"/>
      <c r="G29" s="4" t="n"/>
      <c r="H29" s="4" t="n"/>
      <c r="I29" s="4" t="n"/>
      <c r="J29" s="4" t="n"/>
    </row>
    <row r="30">
      <c r="A30" s="18">
        <f>IF(F30&lt;&gt;"",ROW()-4,"")</f>
        <v/>
      </c>
      <c r="B30" s="15" t="n"/>
      <c r="C30" s="4" t="n"/>
      <c r="D30" s="4" t="n"/>
      <c r="E30" s="4" t="n"/>
      <c r="F30" s="16" t="n"/>
      <c r="G30" s="4" t="n"/>
      <c r="H30" s="4" t="n"/>
      <c r="I30" s="4" t="n"/>
      <c r="J30" s="4" t="n"/>
    </row>
    <row r="31">
      <c r="A31" s="14">
        <f>IF(F31&lt;&gt;"",ROW()-4,"")</f>
        <v/>
      </c>
      <c r="B31" s="15" t="n"/>
      <c r="C31" s="4" t="n"/>
      <c r="D31" s="4" t="n"/>
      <c r="E31" s="4" t="n"/>
      <c r="F31" s="16" t="n"/>
      <c r="G31" s="4" t="n"/>
      <c r="H31" s="4" t="n"/>
      <c r="I31" s="4" t="n"/>
      <c r="J31" s="4" t="n"/>
    </row>
    <row r="32">
      <c r="A32" s="18">
        <f>IF(F32&lt;&gt;"",ROW()-4,"")</f>
        <v/>
      </c>
      <c r="B32" s="15" t="n"/>
      <c r="C32" s="4" t="n"/>
      <c r="D32" s="4" t="n"/>
      <c r="E32" s="4" t="n"/>
      <c r="F32" s="16" t="n"/>
      <c r="G32" s="4" t="n"/>
      <c r="H32" s="4" t="n"/>
      <c r="I32" s="4" t="n"/>
      <c r="J32" s="4" t="n"/>
    </row>
    <row r="33">
      <c r="A33" s="14">
        <f>IF(F33&lt;&gt;"",ROW()-4,"")</f>
        <v/>
      </c>
      <c r="B33" s="15" t="n"/>
      <c r="C33" s="4" t="n"/>
      <c r="D33" s="4" t="n"/>
      <c r="E33" s="4" t="n"/>
      <c r="F33" s="16" t="n"/>
      <c r="G33" s="4" t="n"/>
      <c r="H33" s="4" t="n"/>
      <c r="I33" s="4" t="n"/>
      <c r="J33" s="4" t="n"/>
    </row>
    <row r="34">
      <c r="A34" s="18">
        <f>IF(F34&lt;&gt;"",ROW()-4,"")</f>
        <v/>
      </c>
      <c r="B34" s="15" t="n"/>
      <c r="C34" s="4" t="n"/>
      <c r="D34" s="4" t="n"/>
      <c r="E34" s="4" t="n"/>
      <c r="F34" s="16" t="n"/>
      <c r="G34" s="4" t="n"/>
      <c r="H34" s="4" t="n"/>
      <c r="I34" s="4" t="n"/>
      <c r="J34" s="4" t="n"/>
    </row>
    <row r="35">
      <c r="A35" s="14">
        <f>IF(F35&lt;&gt;"",ROW()-4,"")</f>
        <v/>
      </c>
      <c r="B35" s="15" t="n"/>
      <c r="C35" s="4" t="n"/>
      <c r="D35" s="4" t="n"/>
      <c r="E35" s="4" t="n"/>
      <c r="F35" s="16" t="n"/>
      <c r="G35" s="4" t="n"/>
      <c r="H35" s="4" t="n"/>
      <c r="I35" s="4" t="n"/>
      <c r="J35" s="4" t="n"/>
    </row>
    <row r="36">
      <c r="A36" s="18">
        <f>IF(F36&lt;&gt;"",ROW()-4,"")</f>
        <v/>
      </c>
      <c r="B36" s="15" t="n"/>
      <c r="C36" s="4" t="n"/>
      <c r="D36" s="4" t="n"/>
      <c r="E36" s="4" t="n"/>
      <c r="F36" s="16" t="n"/>
      <c r="G36" s="4" t="n"/>
      <c r="H36" s="4" t="n"/>
      <c r="I36" s="4" t="n"/>
      <c r="J36" s="4" t="n"/>
    </row>
    <row r="37">
      <c r="A37" s="14">
        <f>IF(F37&lt;&gt;"",ROW()-4,"")</f>
        <v/>
      </c>
      <c r="B37" s="15" t="n"/>
      <c r="C37" s="4" t="n"/>
      <c r="D37" s="4" t="n"/>
      <c r="E37" s="4" t="n"/>
      <c r="F37" s="16" t="n"/>
      <c r="G37" s="4" t="n"/>
      <c r="H37" s="4" t="n"/>
      <c r="I37" s="4" t="n"/>
      <c r="J37" s="4" t="n"/>
    </row>
    <row r="38">
      <c r="A38" s="18">
        <f>IF(F38&lt;&gt;"",ROW()-4,"")</f>
        <v/>
      </c>
      <c r="B38" s="15" t="n"/>
      <c r="C38" s="4" t="n"/>
      <c r="D38" s="4" t="n"/>
      <c r="E38" s="4" t="n"/>
      <c r="F38" s="16" t="n"/>
      <c r="G38" s="4" t="n"/>
      <c r="H38" s="4" t="n"/>
      <c r="I38" s="4" t="n"/>
      <c r="J38" s="4" t="n"/>
    </row>
    <row r="39">
      <c r="A39" s="14">
        <f>IF(F39&lt;&gt;"",ROW()-4,"")</f>
        <v/>
      </c>
      <c r="B39" s="15" t="n"/>
      <c r="C39" s="4" t="n"/>
      <c r="D39" s="4" t="n"/>
      <c r="E39" s="4" t="n"/>
      <c r="F39" s="16" t="n"/>
      <c r="G39" s="4" t="n"/>
      <c r="H39" s="4" t="n"/>
      <c r="I39" s="4" t="n"/>
      <c r="J39" s="4" t="n"/>
    </row>
    <row r="40">
      <c r="A40" s="18">
        <f>IF(F40&lt;&gt;"",ROW()-4,"")</f>
        <v/>
      </c>
      <c r="B40" s="15" t="n"/>
      <c r="C40" s="4" t="n"/>
      <c r="D40" s="4" t="n"/>
      <c r="E40" s="4" t="n"/>
      <c r="F40" s="16" t="n"/>
      <c r="G40" s="4" t="n"/>
      <c r="H40" s="4" t="n"/>
      <c r="I40" s="4" t="n"/>
      <c r="J40" s="4" t="n"/>
    </row>
    <row r="41">
      <c r="A41" s="14">
        <f>IF(F41&lt;&gt;"",ROW()-4,"")</f>
        <v/>
      </c>
      <c r="B41" s="15" t="n"/>
      <c r="C41" s="4" t="n"/>
      <c r="D41" s="4" t="n"/>
      <c r="E41" s="4" t="n"/>
      <c r="F41" s="16" t="n"/>
      <c r="G41" s="4" t="n"/>
      <c r="H41" s="4" t="n"/>
      <c r="I41" s="4" t="n"/>
      <c r="J41" s="4" t="n"/>
    </row>
    <row r="42">
      <c r="A42" s="18">
        <f>IF(F42&lt;&gt;"",ROW()-4,"")</f>
        <v/>
      </c>
      <c r="B42" s="15" t="n"/>
      <c r="C42" s="4" t="n"/>
      <c r="D42" s="4" t="n"/>
      <c r="E42" s="4" t="n"/>
      <c r="F42" s="16" t="n"/>
      <c r="G42" s="4" t="n"/>
      <c r="H42" s="4" t="n"/>
      <c r="I42" s="4" t="n"/>
      <c r="J42" s="4" t="n"/>
    </row>
    <row r="43">
      <c r="A43" s="14">
        <f>IF(F43&lt;&gt;"",ROW()-4,"")</f>
        <v/>
      </c>
      <c r="B43" s="15" t="n"/>
      <c r="C43" s="4" t="n"/>
      <c r="D43" s="4" t="n"/>
      <c r="E43" s="4" t="n"/>
      <c r="F43" s="16" t="n"/>
      <c r="G43" s="4" t="n"/>
      <c r="H43" s="4" t="n"/>
      <c r="I43" s="4" t="n"/>
      <c r="J43" s="4" t="n"/>
    </row>
    <row r="44">
      <c r="A44" s="18">
        <f>IF(F44&lt;&gt;"",ROW()-4,"")</f>
        <v/>
      </c>
      <c r="B44" s="15" t="n"/>
      <c r="C44" s="4" t="n"/>
      <c r="D44" s="4" t="n"/>
      <c r="E44" s="4" t="n"/>
      <c r="F44" s="16" t="n"/>
      <c r="G44" s="4" t="n"/>
      <c r="H44" s="4" t="n"/>
      <c r="I44" s="4" t="n"/>
      <c r="J44" s="4" t="n"/>
    </row>
    <row r="45">
      <c r="A45" s="14">
        <f>IF(F45&lt;&gt;"",ROW()-4,"")</f>
        <v/>
      </c>
      <c r="B45" s="15" t="n"/>
      <c r="C45" s="4" t="n"/>
      <c r="D45" s="4" t="n"/>
      <c r="E45" s="4" t="n"/>
      <c r="F45" s="16" t="n"/>
      <c r="G45" s="4" t="n"/>
      <c r="H45" s="4" t="n"/>
      <c r="I45" s="4" t="n"/>
      <c r="J45" s="4" t="n"/>
    </row>
    <row r="46">
      <c r="A46" s="18">
        <f>IF(F46&lt;&gt;"",ROW()-4,"")</f>
        <v/>
      </c>
      <c r="B46" s="15" t="n"/>
      <c r="C46" s="4" t="n"/>
      <c r="D46" s="4" t="n"/>
      <c r="E46" s="4" t="n"/>
      <c r="F46" s="16" t="n"/>
      <c r="G46" s="4" t="n"/>
      <c r="H46" s="4" t="n"/>
      <c r="I46" s="4" t="n"/>
      <c r="J46" s="4" t="n"/>
    </row>
    <row r="47">
      <c r="A47" s="14">
        <f>IF(F47&lt;&gt;"",ROW()-4,"")</f>
        <v/>
      </c>
      <c r="B47" s="15" t="n"/>
      <c r="C47" s="4" t="n"/>
      <c r="D47" s="4" t="n"/>
      <c r="E47" s="4" t="n"/>
      <c r="F47" s="16" t="n"/>
      <c r="G47" s="4" t="n"/>
      <c r="H47" s="4" t="n"/>
      <c r="I47" s="4" t="n"/>
      <c r="J47" s="4" t="n"/>
    </row>
    <row r="48">
      <c r="A48" s="18">
        <f>IF(F48&lt;&gt;"",ROW()-4,"")</f>
        <v/>
      </c>
      <c r="B48" s="15" t="n"/>
      <c r="C48" s="4" t="n"/>
      <c r="D48" s="4" t="n"/>
      <c r="E48" s="4" t="n"/>
      <c r="F48" s="16" t="n"/>
      <c r="G48" s="4" t="n"/>
      <c r="H48" s="4" t="n"/>
      <c r="I48" s="4" t="n"/>
      <c r="J48" s="4" t="n"/>
    </row>
    <row r="49">
      <c r="A49" s="14">
        <f>IF(F49&lt;&gt;"",ROW()-4,"")</f>
        <v/>
      </c>
      <c r="B49" s="15" t="n"/>
      <c r="C49" s="4" t="n"/>
      <c r="D49" s="4" t="n"/>
      <c r="E49" s="4" t="n"/>
      <c r="F49" s="16" t="n"/>
      <c r="G49" s="4" t="n"/>
      <c r="H49" s="4" t="n"/>
      <c r="I49" s="4" t="n"/>
      <c r="J49" s="4" t="n"/>
    </row>
    <row r="50">
      <c r="A50" s="18">
        <f>IF(F50&lt;&gt;"",ROW()-4,"")</f>
        <v/>
      </c>
      <c r="B50" s="15" t="n"/>
      <c r="C50" s="4" t="n"/>
      <c r="D50" s="4" t="n"/>
      <c r="E50" s="4" t="n"/>
      <c r="F50" s="16" t="n"/>
      <c r="G50" s="4" t="n"/>
      <c r="H50" s="4" t="n"/>
      <c r="I50" s="4" t="n"/>
      <c r="J50" s="4" t="n"/>
    </row>
    <row r="51">
      <c r="A51" s="14">
        <f>IF(F51&lt;&gt;"",ROW()-4,"")</f>
        <v/>
      </c>
      <c r="B51" s="15" t="n"/>
      <c r="C51" s="4" t="n"/>
      <c r="D51" s="4" t="n"/>
      <c r="E51" s="4" t="n"/>
      <c r="F51" s="16" t="n"/>
      <c r="G51" s="4" t="n"/>
      <c r="H51" s="4" t="n"/>
      <c r="I51" s="4" t="n"/>
      <c r="J51" s="4" t="n"/>
    </row>
    <row r="52">
      <c r="A52" s="18">
        <f>IF(F52&lt;&gt;"",ROW()-4,"")</f>
        <v/>
      </c>
      <c r="B52" s="15" t="n"/>
      <c r="C52" s="4" t="n"/>
      <c r="D52" s="4" t="n"/>
      <c r="E52" s="4" t="n"/>
      <c r="F52" s="16" t="n"/>
      <c r="G52" s="4" t="n"/>
      <c r="H52" s="4" t="n"/>
      <c r="I52" s="4" t="n"/>
      <c r="J52" s="4" t="n"/>
    </row>
    <row r="53">
      <c r="A53" s="14">
        <f>IF(F53&lt;&gt;"",ROW()-4,"")</f>
        <v/>
      </c>
      <c r="B53" s="15" t="n"/>
      <c r="C53" s="4" t="n"/>
      <c r="D53" s="4" t="n"/>
      <c r="E53" s="4" t="n"/>
      <c r="F53" s="16" t="n"/>
      <c r="G53" s="4" t="n"/>
      <c r="H53" s="4" t="n"/>
      <c r="I53" s="4" t="n"/>
      <c r="J53" s="4" t="n"/>
    </row>
    <row r="54">
      <c r="A54" s="18">
        <f>IF(F54&lt;&gt;"",ROW()-4,"")</f>
        <v/>
      </c>
      <c r="B54" s="15" t="n"/>
      <c r="C54" s="4" t="n"/>
      <c r="D54" s="4" t="n"/>
      <c r="E54" s="4" t="n"/>
      <c r="F54" s="16" t="n"/>
      <c r="G54" s="4" t="n"/>
      <c r="H54" s="4" t="n"/>
      <c r="I54" s="4" t="n"/>
      <c r="J54" s="4" t="n"/>
    </row>
    <row r="55">
      <c r="A55" s="14">
        <f>IF(F55&lt;&gt;"",ROW()-4,"")</f>
        <v/>
      </c>
      <c r="B55" s="15" t="n"/>
      <c r="C55" s="4" t="n"/>
      <c r="D55" s="4" t="n"/>
      <c r="E55" s="4" t="n"/>
      <c r="F55" s="16" t="n"/>
      <c r="G55" s="4" t="n"/>
      <c r="H55" s="4" t="n"/>
      <c r="I55" s="4" t="n"/>
      <c r="J55" s="4" t="n"/>
    </row>
    <row r="56">
      <c r="A56" s="18">
        <f>IF(F56&lt;&gt;"",ROW()-4,"")</f>
        <v/>
      </c>
      <c r="B56" s="15" t="n"/>
      <c r="C56" s="4" t="n"/>
      <c r="D56" s="4" t="n"/>
      <c r="E56" s="4" t="n"/>
      <c r="F56" s="16" t="n"/>
      <c r="G56" s="4" t="n"/>
      <c r="H56" s="4" t="n"/>
      <c r="I56" s="4" t="n"/>
      <c r="J56" s="4" t="n"/>
    </row>
    <row r="57">
      <c r="A57" s="14">
        <f>IF(F57&lt;&gt;"",ROW()-4,"")</f>
        <v/>
      </c>
      <c r="B57" s="15" t="n"/>
      <c r="C57" s="4" t="n"/>
      <c r="D57" s="4" t="n"/>
      <c r="E57" s="4" t="n"/>
      <c r="F57" s="16" t="n"/>
      <c r="G57" s="4" t="n"/>
      <c r="H57" s="4" t="n"/>
      <c r="I57" s="4" t="n"/>
      <c r="J57" s="4" t="n"/>
    </row>
    <row r="58">
      <c r="A58" s="18">
        <f>IF(F58&lt;&gt;"",ROW()-4,"")</f>
        <v/>
      </c>
      <c r="B58" s="15" t="n"/>
      <c r="C58" s="4" t="n"/>
      <c r="D58" s="4" t="n"/>
      <c r="E58" s="4" t="n"/>
      <c r="F58" s="16" t="n"/>
      <c r="G58" s="4" t="n"/>
      <c r="H58" s="4" t="n"/>
      <c r="I58" s="4" t="n"/>
      <c r="J58" s="4" t="n"/>
    </row>
    <row r="59">
      <c r="A59" s="14">
        <f>IF(F59&lt;&gt;"",ROW()-4,"")</f>
        <v/>
      </c>
      <c r="B59" s="15" t="n"/>
      <c r="C59" s="4" t="n"/>
      <c r="D59" s="4" t="n"/>
      <c r="E59" s="4" t="n"/>
      <c r="F59" s="16" t="n"/>
      <c r="G59" s="4" t="n"/>
      <c r="H59" s="4" t="n"/>
      <c r="I59" s="4" t="n"/>
      <c r="J59" s="4" t="n"/>
    </row>
    <row r="60">
      <c r="A60" s="18">
        <f>IF(F60&lt;&gt;"",ROW()-4,"")</f>
        <v/>
      </c>
      <c r="B60" s="15" t="n"/>
      <c r="C60" s="4" t="n"/>
      <c r="D60" s="4" t="n"/>
      <c r="E60" s="4" t="n"/>
      <c r="F60" s="16" t="n"/>
      <c r="G60" s="4" t="n"/>
      <c r="H60" s="4" t="n"/>
      <c r="I60" s="4" t="n"/>
      <c r="J60" s="4" t="n"/>
    </row>
    <row r="61">
      <c r="A61" s="14">
        <f>IF(F61&lt;&gt;"",ROW()-4,"")</f>
        <v/>
      </c>
      <c r="B61" s="15" t="n"/>
      <c r="C61" s="4" t="n"/>
      <c r="D61" s="4" t="n"/>
      <c r="E61" s="4" t="n"/>
      <c r="F61" s="16" t="n"/>
      <c r="G61" s="4" t="n"/>
      <c r="H61" s="4" t="n"/>
      <c r="I61" s="4" t="n"/>
      <c r="J61" s="4" t="n"/>
    </row>
    <row r="62">
      <c r="A62" s="18">
        <f>IF(F62&lt;&gt;"",ROW()-4,"")</f>
        <v/>
      </c>
      <c r="B62" s="15" t="n"/>
      <c r="C62" s="4" t="n"/>
      <c r="D62" s="4" t="n"/>
      <c r="E62" s="4" t="n"/>
      <c r="F62" s="16" t="n"/>
      <c r="G62" s="4" t="n"/>
      <c r="H62" s="4" t="n"/>
      <c r="I62" s="4" t="n"/>
      <c r="J62" s="4" t="n"/>
    </row>
    <row r="63">
      <c r="A63" s="14">
        <f>IF(F63&lt;&gt;"",ROW()-4,"")</f>
        <v/>
      </c>
      <c r="B63" s="15" t="n"/>
      <c r="C63" s="4" t="n"/>
      <c r="D63" s="4" t="n"/>
      <c r="E63" s="4" t="n"/>
      <c r="F63" s="16" t="n"/>
      <c r="G63" s="4" t="n"/>
      <c r="H63" s="4" t="n"/>
      <c r="I63" s="4" t="n"/>
      <c r="J63" s="4" t="n"/>
    </row>
    <row r="64">
      <c r="A64" s="18">
        <f>IF(F64&lt;&gt;"",ROW()-4,"")</f>
        <v/>
      </c>
      <c r="B64" s="15" t="n"/>
      <c r="C64" s="4" t="n"/>
      <c r="D64" s="4" t="n"/>
      <c r="E64" s="4" t="n"/>
      <c r="F64" s="16" t="n"/>
      <c r="G64" s="4" t="n"/>
      <c r="H64" s="4" t="n"/>
      <c r="I64" s="4" t="n"/>
      <c r="J64" s="4" t="n"/>
    </row>
    <row r="65">
      <c r="A65" s="14">
        <f>IF(F65&lt;&gt;"",ROW()-4,"")</f>
        <v/>
      </c>
      <c r="B65" s="15" t="n"/>
      <c r="C65" s="4" t="n"/>
      <c r="D65" s="4" t="n"/>
      <c r="E65" s="4" t="n"/>
      <c r="F65" s="16" t="n"/>
      <c r="G65" s="4" t="n"/>
      <c r="H65" s="4" t="n"/>
      <c r="I65" s="4" t="n"/>
      <c r="J65" s="4" t="n"/>
    </row>
    <row r="66">
      <c r="A66" s="18">
        <f>IF(F66&lt;&gt;"",ROW()-4,"")</f>
        <v/>
      </c>
      <c r="B66" s="15" t="n"/>
      <c r="C66" s="4" t="n"/>
      <c r="D66" s="4" t="n"/>
      <c r="E66" s="4" t="n"/>
      <c r="F66" s="16" t="n"/>
      <c r="G66" s="4" t="n"/>
      <c r="H66" s="4" t="n"/>
      <c r="I66" s="4" t="n"/>
      <c r="J66" s="4" t="n"/>
    </row>
    <row r="67">
      <c r="A67" s="14">
        <f>IF(F67&lt;&gt;"",ROW()-4,"")</f>
        <v/>
      </c>
      <c r="B67" s="15" t="n"/>
      <c r="C67" s="4" t="n"/>
      <c r="D67" s="4" t="n"/>
      <c r="E67" s="4" t="n"/>
      <c r="F67" s="16" t="n"/>
      <c r="G67" s="4" t="n"/>
      <c r="H67" s="4" t="n"/>
      <c r="I67" s="4" t="n"/>
      <c r="J67" s="4" t="n"/>
    </row>
    <row r="68">
      <c r="A68" s="18">
        <f>IF(F68&lt;&gt;"",ROW()-4,"")</f>
        <v/>
      </c>
      <c r="B68" s="15" t="n"/>
      <c r="C68" s="4" t="n"/>
      <c r="D68" s="4" t="n"/>
      <c r="E68" s="4" t="n"/>
      <c r="F68" s="16" t="n"/>
      <c r="G68" s="4" t="n"/>
      <c r="H68" s="4" t="n"/>
      <c r="I68" s="4" t="n"/>
      <c r="J68" s="4" t="n"/>
    </row>
    <row r="69">
      <c r="A69" s="14">
        <f>IF(F69&lt;&gt;"",ROW()-4,"")</f>
        <v/>
      </c>
      <c r="B69" s="15" t="n"/>
      <c r="C69" s="4" t="n"/>
      <c r="D69" s="4" t="n"/>
      <c r="E69" s="4" t="n"/>
      <c r="F69" s="16" t="n"/>
      <c r="G69" s="4" t="n"/>
      <c r="H69" s="4" t="n"/>
      <c r="I69" s="4" t="n"/>
      <c r="J69" s="4" t="n"/>
    </row>
    <row r="70">
      <c r="A70" s="18">
        <f>IF(F70&lt;&gt;"",ROW()-4,"")</f>
        <v/>
      </c>
      <c r="B70" s="15" t="n"/>
      <c r="C70" s="4" t="n"/>
      <c r="D70" s="4" t="n"/>
      <c r="E70" s="4" t="n"/>
      <c r="F70" s="16" t="n"/>
      <c r="G70" s="4" t="n"/>
      <c r="H70" s="4" t="n"/>
      <c r="I70" s="4" t="n"/>
      <c r="J70" s="4" t="n"/>
    </row>
    <row r="71">
      <c r="A71" s="14">
        <f>IF(F71&lt;&gt;"",ROW()-4,"")</f>
        <v/>
      </c>
      <c r="B71" s="15" t="n"/>
      <c r="C71" s="4" t="n"/>
      <c r="D71" s="4" t="n"/>
      <c r="E71" s="4" t="n"/>
      <c r="F71" s="16" t="n"/>
      <c r="G71" s="4" t="n"/>
      <c r="H71" s="4" t="n"/>
      <c r="I71" s="4" t="n"/>
      <c r="J71" s="4" t="n"/>
    </row>
    <row r="72">
      <c r="A72" s="18">
        <f>IF(F72&lt;&gt;"",ROW()-4,"")</f>
        <v/>
      </c>
      <c r="B72" s="15" t="n"/>
      <c r="C72" s="4" t="n"/>
      <c r="D72" s="4" t="n"/>
      <c r="E72" s="4" t="n"/>
      <c r="F72" s="16" t="n"/>
      <c r="G72" s="4" t="n"/>
      <c r="H72" s="4" t="n"/>
      <c r="I72" s="4" t="n"/>
      <c r="J72" s="4" t="n"/>
    </row>
    <row r="73">
      <c r="A73" s="14">
        <f>IF(F73&lt;&gt;"",ROW()-4,"")</f>
        <v/>
      </c>
      <c r="B73" s="15" t="n"/>
      <c r="C73" s="4" t="n"/>
      <c r="D73" s="4" t="n"/>
      <c r="E73" s="4" t="n"/>
      <c r="F73" s="16" t="n"/>
      <c r="G73" s="4" t="n"/>
      <c r="H73" s="4" t="n"/>
      <c r="I73" s="4" t="n"/>
      <c r="J73" s="4" t="n"/>
    </row>
    <row r="74">
      <c r="A74" s="18">
        <f>IF(F74&lt;&gt;"",ROW()-4,"")</f>
        <v/>
      </c>
      <c r="B74" s="15" t="n"/>
      <c r="C74" s="4" t="n"/>
      <c r="D74" s="4" t="n"/>
      <c r="E74" s="4" t="n"/>
      <c r="F74" s="16" t="n"/>
      <c r="G74" s="4" t="n"/>
      <c r="H74" s="4" t="n"/>
      <c r="I74" s="4" t="n"/>
      <c r="J74" s="4" t="n"/>
    </row>
    <row r="75">
      <c r="A75" s="14">
        <f>IF(F75&lt;&gt;"",ROW()-4,"")</f>
        <v/>
      </c>
      <c r="B75" s="15" t="n"/>
      <c r="C75" s="4" t="n"/>
      <c r="D75" s="4" t="n"/>
      <c r="E75" s="4" t="n"/>
      <c r="F75" s="16" t="n"/>
      <c r="G75" s="4" t="n"/>
      <c r="H75" s="4" t="n"/>
      <c r="I75" s="4" t="n"/>
      <c r="J75" s="4" t="n"/>
    </row>
    <row r="76">
      <c r="A76" s="18">
        <f>IF(F76&lt;&gt;"",ROW()-4,"")</f>
        <v/>
      </c>
      <c r="B76" s="15" t="n"/>
      <c r="C76" s="4" t="n"/>
      <c r="D76" s="4" t="n"/>
      <c r="E76" s="4" t="n"/>
      <c r="F76" s="16" t="n"/>
      <c r="G76" s="4" t="n"/>
      <c r="H76" s="4" t="n"/>
      <c r="I76" s="4" t="n"/>
      <c r="J76" s="4" t="n"/>
    </row>
    <row r="77">
      <c r="A77" s="14">
        <f>IF(F77&lt;&gt;"",ROW()-4,"")</f>
        <v/>
      </c>
      <c r="B77" s="15" t="n"/>
      <c r="C77" s="4" t="n"/>
      <c r="D77" s="4" t="n"/>
      <c r="E77" s="4" t="n"/>
      <c r="F77" s="16" t="n"/>
      <c r="G77" s="4" t="n"/>
      <c r="H77" s="4" t="n"/>
      <c r="I77" s="4" t="n"/>
      <c r="J77" s="4" t="n"/>
    </row>
    <row r="78">
      <c r="A78" s="18">
        <f>IF(F78&lt;&gt;"",ROW()-4,"")</f>
        <v/>
      </c>
      <c r="B78" s="15" t="n"/>
      <c r="C78" s="4" t="n"/>
      <c r="D78" s="4" t="n"/>
      <c r="E78" s="4" t="n"/>
      <c r="F78" s="16" t="n"/>
      <c r="G78" s="4" t="n"/>
      <c r="H78" s="4" t="n"/>
      <c r="I78" s="4" t="n"/>
      <c r="J78" s="4" t="n"/>
    </row>
    <row r="79">
      <c r="A79" s="14">
        <f>IF(F79&lt;&gt;"",ROW()-4,"")</f>
        <v/>
      </c>
      <c r="B79" s="15" t="n"/>
      <c r="C79" s="4" t="n"/>
      <c r="D79" s="4" t="n"/>
      <c r="E79" s="4" t="n"/>
      <c r="F79" s="16" t="n"/>
      <c r="G79" s="4" t="n"/>
      <c r="H79" s="4" t="n"/>
      <c r="I79" s="4" t="n"/>
      <c r="J79" s="4" t="n"/>
    </row>
    <row r="80">
      <c r="A80" s="18">
        <f>IF(F80&lt;&gt;"",ROW()-4,"")</f>
        <v/>
      </c>
      <c r="B80" s="15" t="n"/>
      <c r="C80" s="4" t="n"/>
      <c r="D80" s="4" t="n"/>
      <c r="E80" s="4" t="n"/>
      <c r="F80" s="16" t="n"/>
      <c r="G80" s="4" t="n"/>
      <c r="H80" s="4" t="n"/>
      <c r="I80" s="4" t="n"/>
      <c r="J80" s="4" t="n"/>
    </row>
    <row r="81">
      <c r="A81" s="14">
        <f>IF(F81&lt;&gt;"",ROW()-4,"")</f>
        <v/>
      </c>
      <c r="B81" s="15" t="n"/>
      <c r="C81" s="4" t="n"/>
      <c r="D81" s="4" t="n"/>
      <c r="E81" s="4" t="n"/>
      <c r="F81" s="16" t="n"/>
      <c r="G81" s="4" t="n"/>
      <c r="H81" s="4" t="n"/>
      <c r="I81" s="4" t="n"/>
      <c r="J81" s="4" t="n"/>
    </row>
    <row r="82">
      <c r="A82" s="18">
        <f>IF(F82&lt;&gt;"",ROW()-4,"")</f>
        <v/>
      </c>
      <c r="B82" s="15" t="n"/>
      <c r="C82" s="4" t="n"/>
      <c r="D82" s="4" t="n"/>
      <c r="E82" s="4" t="n"/>
      <c r="F82" s="16" t="n"/>
      <c r="G82" s="4" t="n"/>
      <c r="H82" s="4" t="n"/>
      <c r="I82" s="4" t="n"/>
      <c r="J82" s="4" t="n"/>
    </row>
    <row r="83">
      <c r="A83" s="14">
        <f>IF(F83&lt;&gt;"",ROW()-4,"")</f>
        <v/>
      </c>
      <c r="B83" s="15" t="n"/>
      <c r="C83" s="4" t="n"/>
      <c r="D83" s="4" t="n"/>
      <c r="E83" s="4" t="n"/>
      <c r="F83" s="16" t="n"/>
      <c r="G83" s="4" t="n"/>
      <c r="H83" s="4" t="n"/>
      <c r="I83" s="4" t="n"/>
      <c r="J83" s="4" t="n"/>
    </row>
    <row r="84">
      <c r="A84" s="18">
        <f>IF(F84&lt;&gt;"",ROW()-4,"")</f>
        <v/>
      </c>
      <c r="B84" s="15" t="n"/>
      <c r="C84" s="4" t="n"/>
      <c r="D84" s="4" t="n"/>
      <c r="E84" s="4" t="n"/>
      <c r="F84" s="16" t="n"/>
      <c r="G84" s="4" t="n"/>
      <c r="H84" s="4" t="n"/>
      <c r="I84" s="4" t="n"/>
      <c r="J84" s="4" t="n"/>
    </row>
    <row r="85">
      <c r="A85" s="14">
        <f>IF(F85&lt;&gt;"",ROW()-4,"")</f>
        <v/>
      </c>
      <c r="B85" s="15" t="n"/>
      <c r="C85" s="4" t="n"/>
      <c r="D85" s="4" t="n"/>
      <c r="E85" s="4" t="n"/>
      <c r="F85" s="16" t="n"/>
      <c r="G85" s="4" t="n"/>
      <c r="H85" s="4" t="n"/>
      <c r="I85" s="4" t="n"/>
      <c r="J85" s="4" t="n"/>
    </row>
    <row r="86">
      <c r="A86" s="18">
        <f>IF(F86&lt;&gt;"",ROW()-4,"")</f>
        <v/>
      </c>
      <c r="B86" s="15" t="n"/>
      <c r="C86" s="4" t="n"/>
      <c r="D86" s="4" t="n"/>
      <c r="E86" s="4" t="n"/>
      <c r="F86" s="16" t="n"/>
      <c r="G86" s="4" t="n"/>
      <c r="H86" s="4" t="n"/>
      <c r="I86" s="4" t="n"/>
      <c r="J86" s="4" t="n"/>
    </row>
    <row r="87">
      <c r="A87" s="14">
        <f>IF(F87&lt;&gt;"",ROW()-4,"")</f>
        <v/>
      </c>
      <c r="B87" s="15" t="n"/>
      <c r="C87" s="4" t="n"/>
      <c r="D87" s="4" t="n"/>
      <c r="E87" s="4" t="n"/>
      <c r="F87" s="16" t="n"/>
      <c r="G87" s="4" t="n"/>
      <c r="H87" s="4" t="n"/>
      <c r="I87" s="4" t="n"/>
      <c r="J87" s="4" t="n"/>
    </row>
    <row r="88">
      <c r="A88" s="18">
        <f>IF(F88&lt;&gt;"",ROW()-4,"")</f>
        <v/>
      </c>
      <c r="B88" s="15" t="n"/>
      <c r="C88" s="4" t="n"/>
      <c r="D88" s="4" t="n"/>
      <c r="E88" s="4" t="n"/>
      <c r="F88" s="16" t="n"/>
      <c r="G88" s="4" t="n"/>
      <c r="H88" s="4" t="n"/>
      <c r="I88" s="4" t="n"/>
      <c r="J88" s="4" t="n"/>
    </row>
    <row r="89">
      <c r="A89" s="14">
        <f>IF(F89&lt;&gt;"",ROW()-4,"")</f>
        <v/>
      </c>
      <c r="B89" s="15" t="n"/>
      <c r="C89" s="4" t="n"/>
      <c r="D89" s="4" t="n"/>
      <c r="E89" s="4" t="n"/>
      <c r="F89" s="16" t="n"/>
      <c r="G89" s="4" t="n"/>
      <c r="H89" s="4" t="n"/>
      <c r="I89" s="4" t="n"/>
      <c r="J89" s="4" t="n"/>
    </row>
    <row r="90">
      <c r="A90" s="18">
        <f>IF(F90&lt;&gt;"",ROW()-4,"")</f>
        <v/>
      </c>
      <c r="B90" s="15" t="n"/>
      <c r="C90" s="4" t="n"/>
      <c r="D90" s="4" t="n"/>
      <c r="E90" s="4" t="n"/>
      <c r="F90" s="16" t="n"/>
      <c r="G90" s="4" t="n"/>
      <c r="H90" s="4" t="n"/>
      <c r="I90" s="4" t="n"/>
      <c r="J90" s="4" t="n"/>
    </row>
    <row r="91">
      <c r="A91" s="14">
        <f>IF(F91&lt;&gt;"",ROW()-4,"")</f>
        <v/>
      </c>
      <c r="B91" s="15" t="n"/>
      <c r="C91" s="4" t="n"/>
      <c r="D91" s="4" t="n"/>
      <c r="E91" s="4" t="n"/>
      <c r="F91" s="16" t="n"/>
      <c r="G91" s="4" t="n"/>
      <c r="H91" s="4" t="n"/>
      <c r="I91" s="4" t="n"/>
      <c r="J91" s="4" t="n"/>
    </row>
    <row r="92">
      <c r="A92" s="18">
        <f>IF(F92&lt;&gt;"",ROW()-4,"")</f>
        <v/>
      </c>
      <c r="B92" s="15" t="n"/>
      <c r="C92" s="4" t="n"/>
      <c r="D92" s="4" t="n"/>
      <c r="E92" s="4" t="n"/>
      <c r="F92" s="16" t="n"/>
      <c r="G92" s="4" t="n"/>
      <c r="H92" s="4" t="n"/>
      <c r="I92" s="4" t="n"/>
      <c r="J92" s="4" t="n"/>
    </row>
    <row r="93">
      <c r="A93" s="14">
        <f>IF(F93&lt;&gt;"",ROW()-4,"")</f>
        <v/>
      </c>
      <c r="B93" s="15" t="n"/>
      <c r="C93" s="4" t="n"/>
      <c r="D93" s="4" t="n"/>
      <c r="E93" s="4" t="n"/>
      <c r="F93" s="16" t="n"/>
      <c r="G93" s="4" t="n"/>
      <c r="H93" s="4" t="n"/>
      <c r="I93" s="4" t="n"/>
      <c r="J93" s="4" t="n"/>
    </row>
    <row r="94">
      <c r="A94" s="18">
        <f>IF(F94&lt;&gt;"",ROW()-4,"")</f>
        <v/>
      </c>
      <c r="B94" s="15" t="n"/>
      <c r="C94" s="4" t="n"/>
      <c r="D94" s="4" t="n"/>
      <c r="E94" s="4" t="n"/>
      <c r="F94" s="16" t="n"/>
      <c r="G94" s="4" t="n"/>
      <c r="H94" s="4" t="n"/>
      <c r="I94" s="4" t="n"/>
      <c r="J94" s="4" t="n"/>
    </row>
    <row r="95">
      <c r="A95" s="14">
        <f>IF(F95&lt;&gt;"",ROW()-4,"")</f>
        <v/>
      </c>
      <c r="B95" s="15" t="n"/>
      <c r="C95" s="4" t="n"/>
      <c r="D95" s="4" t="n"/>
      <c r="E95" s="4" t="n"/>
      <c r="F95" s="16" t="n"/>
      <c r="G95" s="4" t="n"/>
      <c r="H95" s="4" t="n"/>
      <c r="I95" s="4" t="n"/>
      <c r="J95" s="4" t="n"/>
    </row>
    <row r="96">
      <c r="A96" s="18">
        <f>IF(F96&lt;&gt;"",ROW()-4,"")</f>
        <v/>
      </c>
      <c r="B96" s="15" t="n"/>
      <c r="C96" s="4" t="n"/>
      <c r="D96" s="4" t="n"/>
      <c r="E96" s="4" t="n"/>
      <c r="F96" s="16" t="n"/>
      <c r="G96" s="4" t="n"/>
      <c r="H96" s="4" t="n"/>
      <c r="I96" s="4" t="n"/>
      <c r="J96" s="4" t="n"/>
    </row>
    <row r="97">
      <c r="A97" s="14">
        <f>IF(F97&lt;&gt;"",ROW()-4,"")</f>
        <v/>
      </c>
      <c r="B97" s="15" t="n"/>
      <c r="C97" s="4" t="n"/>
      <c r="D97" s="4" t="n"/>
      <c r="E97" s="4" t="n"/>
      <c r="F97" s="16" t="n"/>
      <c r="G97" s="4" t="n"/>
      <c r="H97" s="4" t="n"/>
      <c r="I97" s="4" t="n"/>
      <c r="J97" s="4" t="n"/>
    </row>
    <row r="98">
      <c r="A98" s="18">
        <f>IF(F98&lt;&gt;"",ROW()-4,"")</f>
        <v/>
      </c>
      <c r="B98" s="15" t="n"/>
      <c r="C98" s="4" t="n"/>
      <c r="D98" s="4" t="n"/>
      <c r="E98" s="4" t="n"/>
      <c r="F98" s="16" t="n"/>
      <c r="G98" s="4" t="n"/>
      <c r="H98" s="4" t="n"/>
      <c r="I98" s="4" t="n"/>
      <c r="J98" s="4" t="n"/>
    </row>
    <row r="99">
      <c r="A99" s="14">
        <f>IF(F99&lt;&gt;"",ROW()-4,"")</f>
        <v/>
      </c>
      <c r="B99" s="15" t="n"/>
      <c r="C99" s="4" t="n"/>
      <c r="D99" s="4" t="n"/>
      <c r="E99" s="4" t="n"/>
      <c r="F99" s="16" t="n"/>
      <c r="G99" s="4" t="n"/>
      <c r="H99" s="4" t="n"/>
      <c r="I99" s="4" t="n"/>
      <c r="J99" s="4" t="n"/>
    </row>
    <row r="100">
      <c r="A100" s="18">
        <f>IF(F100&lt;&gt;"",ROW()-4,"")</f>
        <v/>
      </c>
      <c r="B100" s="15" t="n"/>
      <c r="C100" s="4" t="n"/>
      <c r="D100" s="4" t="n"/>
      <c r="E100" s="4" t="n"/>
      <c r="F100" s="16" t="n"/>
      <c r="G100" s="4" t="n"/>
      <c r="H100" s="4" t="n"/>
      <c r="I100" s="4" t="n"/>
      <c r="J100" s="4" t="n"/>
    </row>
    <row r="101">
      <c r="A101" s="14">
        <f>IF(F101&lt;&gt;"",ROW()-4,"")</f>
        <v/>
      </c>
      <c r="B101" s="15" t="n"/>
      <c r="C101" s="4" t="n"/>
      <c r="D101" s="4" t="n"/>
      <c r="E101" s="4" t="n"/>
      <c r="F101" s="16" t="n"/>
      <c r="G101" s="4" t="n"/>
      <c r="H101" s="4" t="n"/>
      <c r="I101" s="4" t="n"/>
      <c r="J101" s="4" t="n"/>
    </row>
    <row r="102">
      <c r="A102" s="18">
        <f>IF(F102&lt;&gt;"",ROW()-4,"")</f>
        <v/>
      </c>
      <c r="B102" s="15" t="n"/>
      <c r="C102" s="4" t="n"/>
      <c r="D102" s="4" t="n"/>
      <c r="E102" s="4" t="n"/>
      <c r="F102" s="16" t="n"/>
      <c r="G102" s="4" t="n"/>
      <c r="H102" s="4" t="n"/>
      <c r="I102" s="4" t="n"/>
      <c r="J102" s="4" t="n"/>
    </row>
    <row r="103">
      <c r="A103" s="14">
        <f>IF(F103&lt;&gt;"",ROW()-4,"")</f>
        <v/>
      </c>
      <c r="B103" s="15" t="n"/>
      <c r="C103" s="4" t="n"/>
      <c r="D103" s="4" t="n"/>
      <c r="E103" s="4" t="n"/>
      <c r="F103" s="16" t="n"/>
      <c r="G103" s="4" t="n"/>
      <c r="H103" s="4" t="n"/>
      <c r="I103" s="4" t="n"/>
      <c r="J103" s="4" t="n"/>
    </row>
    <row r="104">
      <c r="A104" s="18">
        <f>IF(F104&lt;&gt;"",ROW()-4,"")</f>
        <v/>
      </c>
      <c r="B104" s="15" t="n"/>
      <c r="C104" s="4" t="n"/>
      <c r="D104" s="4" t="n"/>
      <c r="E104" s="4" t="n"/>
      <c r="F104" s="16" t="n"/>
      <c r="G104" s="4" t="n"/>
      <c r="H104" s="4" t="n"/>
      <c r="I104" s="4" t="n"/>
      <c r="J104" s="4" t="n"/>
    </row>
    <row r="105">
      <c r="A105" s="14">
        <f>IF(F105&lt;&gt;"",ROW()-4,"")</f>
        <v/>
      </c>
      <c r="B105" s="15" t="n"/>
      <c r="C105" s="4" t="n"/>
      <c r="D105" s="4" t="n"/>
      <c r="E105" s="4" t="n"/>
      <c r="F105" s="16" t="n"/>
      <c r="G105" s="4" t="n"/>
      <c r="H105" s="4" t="n"/>
      <c r="I105" s="4" t="n"/>
      <c r="J105" s="4" t="n"/>
    </row>
    <row r="106">
      <c r="A106" s="18">
        <f>IF(F106&lt;&gt;"",ROW()-4,"")</f>
        <v/>
      </c>
      <c r="B106" s="15" t="n"/>
      <c r="C106" s="4" t="n"/>
      <c r="D106" s="4" t="n"/>
      <c r="E106" s="4" t="n"/>
      <c r="F106" s="16" t="n"/>
      <c r="G106" s="4" t="n"/>
      <c r="H106" s="4" t="n"/>
      <c r="I106" s="4" t="n"/>
      <c r="J106" s="4" t="n"/>
    </row>
    <row r="107">
      <c r="A107" s="14">
        <f>IF(F107&lt;&gt;"",ROW()-4,"")</f>
        <v/>
      </c>
      <c r="B107" s="15" t="n"/>
      <c r="C107" s="4" t="n"/>
      <c r="D107" s="4" t="n"/>
      <c r="E107" s="4" t="n"/>
      <c r="F107" s="16" t="n"/>
      <c r="G107" s="4" t="n"/>
      <c r="H107" s="4" t="n"/>
      <c r="I107" s="4" t="n"/>
      <c r="J107" s="4" t="n"/>
    </row>
    <row r="108">
      <c r="A108" s="18">
        <f>IF(F108&lt;&gt;"",ROW()-4,"")</f>
        <v/>
      </c>
      <c r="B108" s="15" t="n"/>
      <c r="C108" s="4" t="n"/>
      <c r="D108" s="4" t="n"/>
      <c r="E108" s="4" t="n"/>
      <c r="F108" s="16" t="n"/>
      <c r="G108" s="4" t="n"/>
      <c r="H108" s="4" t="n"/>
      <c r="I108" s="4" t="n"/>
      <c r="J108" s="4" t="n"/>
    </row>
    <row r="109">
      <c r="A109" s="14">
        <f>IF(F109&lt;&gt;"",ROW()-4,"")</f>
        <v/>
      </c>
      <c r="B109" s="15" t="n"/>
      <c r="C109" s="4" t="n"/>
      <c r="D109" s="4" t="n"/>
      <c r="E109" s="4" t="n"/>
      <c r="F109" s="16" t="n"/>
      <c r="G109" s="4" t="n"/>
      <c r="H109" s="4" t="n"/>
      <c r="I109" s="4" t="n"/>
      <c r="J109" s="4" t="n"/>
    </row>
    <row r="110">
      <c r="A110" s="18">
        <f>IF(F110&lt;&gt;"",ROW()-4,"")</f>
        <v/>
      </c>
      <c r="B110" s="15" t="n"/>
      <c r="C110" s="4" t="n"/>
      <c r="D110" s="4" t="n"/>
      <c r="E110" s="4" t="n"/>
      <c r="F110" s="16" t="n"/>
      <c r="G110" s="4" t="n"/>
      <c r="H110" s="4" t="n"/>
      <c r="I110" s="4" t="n"/>
      <c r="J110" s="4" t="n"/>
    </row>
    <row r="111">
      <c r="A111" s="14">
        <f>IF(F111&lt;&gt;"",ROW()-4,"")</f>
        <v/>
      </c>
      <c r="B111" s="15" t="n"/>
      <c r="C111" s="4" t="n"/>
      <c r="D111" s="4" t="n"/>
      <c r="E111" s="4" t="n"/>
      <c r="F111" s="16" t="n"/>
      <c r="G111" s="4" t="n"/>
      <c r="H111" s="4" t="n"/>
      <c r="I111" s="4" t="n"/>
      <c r="J111" s="4" t="n"/>
    </row>
    <row r="112">
      <c r="A112" s="18">
        <f>IF(F112&lt;&gt;"",ROW()-4,"")</f>
        <v/>
      </c>
      <c r="B112" s="15" t="n"/>
      <c r="C112" s="4" t="n"/>
      <c r="D112" s="4" t="n"/>
      <c r="E112" s="4" t="n"/>
      <c r="F112" s="16" t="n"/>
      <c r="G112" s="4" t="n"/>
      <c r="H112" s="4" t="n"/>
      <c r="I112" s="4" t="n"/>
      <c r="J112" s="4" t="n"/>
    </row>
    <row r="113">
      <c r="A113" s="14">
        <f>IF(F113&lt;&gt;"",ROW()-4,"")</f>
        <v/>
      </c>
      <c r="B113" s="15" t="n"/>
      <c r="C113" s="4" t="n"/>
      <c r="D113" s="4" t="n"/>
      <c r="E113" s="4" t="n"/>
      <c r="F113" s="16" t="n"/>
      <c r="G113" s="4" t="n"/>
      <c r="H113" s="4" t="n"/>
      <c r="I113" s="4" t="n"/>
      <c r="J113" s="4" t="n"/>
    </row>
    <row r="114">
      <c r="A114" s="18">
        <f>IF(F114&lt;&gt;"",ROW()-4,"")</f>
        <v/>
      </c>
      <c r="B114" s="15" t="n"/>
      <c r="C114" s="4" t="n"/>
      <c r="D114" s="4" t="n"/>
      <c r="E114" s="4" t="n"/>
      <c r="F114" s="16" t="n"/>
      <c r="G114" s="4" t="n"/>
      <c r="H114" s="4" t="n"/>
      <c r="I114" s="4" t="n"/>
      <c r="J114" s="4" t="n"/>
    </row>
    <row r="115">
      <c r="A115" s="14">
        <f>IF(F115&lt;&gt;"",ROW()-4,"")</f>
        <v/>
      </c>
      <c r="B115" s="15" t="n"/>
      <c r="C115" s="4" t="n"/>
      <c r="D115" s="4" t="n"/>
      <c r="E115" s="4" t="n"/>
      <c r="F115" s="16" t="n"/>
      <c r="G115" s="4" t="n"/>
      <c r="H115" s="4" t="n"/>
      <c r="I115" s="4" t="n"/>
      <c r="J115" s="4" t="n"/>
    </row>
    <row r="116">
      <c r="A116" s="18">
        <f>IF(F116&lt;&gt;"",ROW()-4,"")</f>
        <v/>
      </c>
      <c r="B116" s="15" t="n"/>
      <c r="C116" s="4" t="n"/>
      <c r="D116" s="4" t="n"/>
      <c r="E116" s="4" t="n"/>
      <c r="F116" s="16" t="n"/>
      <c r="G116" s="4" t="n"/>
      <c r="H116" s="4" t="n"/>
      <c r="I116" s="4" t="n"/>
      <c r="J116" s="4" t="n"/>
    </row>
    <row r="117">
      <c r="A117" s="14">
        <f>IF(F117&lt;&gt;"",ROW()-4,"")</f>
        <v/>
      </c>
      <c r="B117" s="15" t="n"/>
      <c r="C117" s="4" t="n"/>
      <c r="D117" s="4" t="n"/>
      <c r="E117" s="4" t="n"/>
      <c r="F117" s="16" t="n"/>
      <c r="G117" s="4" t="n"/>
      <c r="H117" s="4" t="n"/>
      <c r="I117" s="4" t="n"/>
      <c r="J117" s="4" t="n"/>
    </row>
    <row r="118">
      <c r="A118" s="18">
        <f>IF(F118&lt;&gt;"",ROW()-4,"")</f>
        <v/>
      </c>
      <c r="B118" s="15" t="n"/>
      <c r="C118" s="4" t="n"/>
      <c r="D118" s="4" t="n"/>
      <c r="E118" s="4" t="n"/>
      <c r="F118" s="16" t="n"/>
      <c r="G118" s="4" t="n"/>
      <c r="H118" s="4" t="n"/>
      <c r="I118" s="4" t="n"/>
      <c r="J118" s="4" t="n"/>
    </row>
    <row r="119">
      <c r="A119" s="14">
        <f>IF(F119&lt;&gt;"",ROW()-4,"")</f>
        <v/>
      </c>
      <c r="B119" s="15" t="n"/>
      <c r="C119" s="4" t="n"/>
      <c r="D119" s="4" t="n"/>
      <c r="E119" s="4" t="n"/>
      <c r="F119" s="16" t="n"/>
      <c r="G119" s="4" t="n"/>
      <c r="H119" s="4" t="n"/>
      <c r="I119" s="4" t="n"/>
      <c r="J119" s="4" t="n"/>
    </row>
    <row r="120">
      <c r="A120" s="18">
        <f>IF(F120&lt;&gt;"",ROW()-4,"")</f>
        <v/>
      </c>
      <c r="B120" s="15" t="n"/>
      <c r="C120" s="4" t="n"/>
      <c r="D120" s="4" t="n"/>
      <c r="E120" s="4" t="n"/>
      <c r="F120" s="16" t="n"/>
      <c r="G120" s="4" t="n"/>
      <c r="H120" s="4" t="n"/>
      <c r="I120" s="4" t="n"/>
      <c r="J120" s="4" t="n"/>
    </row>
    <row r="121">
      <c r="A121" s="14">
        <f>IF(F121&lt;&gt;"",ROW()-4,"")</f>
        <v/>
      </c>
      <c r="B121" s="15" t="n"/>
      <c r="C121" s="4" t="n"/>
      <c r="D121" s="4" t="n"/>
      <c r="E121" s="4" t="n"/>
      <c r="F121" s="16" t="n"/>
      <c r="G121" s="4" t="n"/>
      <c r="H121" s="4" t="n"/>
      <c r="I121" s="4" t="n"/>
      <c r="J121" s="4" t="n"/>
    </row>
    <row r="122">
      <c r="A122" s="18">
        <f>IF(F122&lt;&gt;"",ROW()-4,"")</f>
        <v/>
      </c>
      <c r="B122" s="15" t="n"/>
      <c r="C122" s="4" t="n"/>
      <c r="D122" s="4" t="n"/>
      <c r="E122" s="4" t="n"/>
      <c r="F122" s="16" t="n"/>
      <c r="G122" s="4" t="n"/>
      <c r="H122" s="4" t="n"/>
      <c r="I122" s="4" t="n"/>
      <c r="J122" s="4" t="n"/>
    </row>
    <row r="123">
      <c r="A123" s="14">
        <f>IF(F123&lt;&gt;"",ROW()-4,"")</f>
        <v/>
      </c>
      <c r="B123" s="15" t="n"/>
      <c r="C123" s="4" t="n"/>
      <c r="D123" s="4" t="n"/>
      <c r="E123" s="4" t="n"/>
      <c r="F123" s="16" t="n"/>
      <c r="G123" s="4" t="n"/>
      <c r="H123" s="4" t="n"/>
      <c r="I123" s="4" t="n"/>
      <c r="J123" s="4" t="n"/>
    </row>
    <row r="124">
      <c r="A124" s="18">
        <f>IF(F124&lt;&gt;"",ROW()-4,"")</f>
        <v/>
      </c>
      <c r="B124" s="15" t="n"/>
      <c r="C124" s="4" t="n"/>
      <c r="D124" s="4" t="n"/>
      <c r="E124" s="4" t="n"/>
      <c r="F124" s="16" t="n"/>
      <c r="G124" s="4" t="n"/>
      <c r="H124" s="4" t="n"/>
      <c r="I124" s="4" t="n"/>
      <c r="J124" s="4" t="n"/>
    </row>
    <row r="125">
      <c r="A125" s="14">
        <f>IF(F125&lt;&gt;"",ROW()-4,"")</f>
        <v/>
      </c>
      <c r="B125" s="15" t="n"/>
      <c r="C125" s="4" t="n"/>
      <c r="D125" s="4" t="n"/>
      <c r="E125" s="4" t="n"/>
      <c r="F125" s="16" t="n"/>
      <c r="G125" s="4" t="n"/>
      <c r="H125" s="4" t="n"/>
      <c r="I125" s="4" t="n"/>
      <c r="J125" s="4" t="n"/>
    </row>
    <row r="126">
      <c r="A126" s="18">
        <f>IF(F126&lt;&gt;"",ROW()-4,"")</f>
        <v/>
      </c>
      <c r="B126" s="15" t="n"/>
      <c r="C126" s="4" t="n"/>
      <c r="D126" s="4" t="n"/>
      <c r="E126" s="4" t="n"/>
      <c r="F126" s="16" t="n"/>
      <c r="G126" s="4" t="n"/>
      <c r="H126" s="4" t="n"/>
      <c r="I126" s="4" t="n"/>
      <c r="J126" s="4" t="n"/>
    </row>
    <row r="127">
      <c r="A127" s="14">
        <f>IF(F127&lt;&gt;"",ROW()-4,"")</f>
        <v/>
      </c>
      <c r="B127" s="15" t="n"/>
      <c r="C127" s="4" t="n"/>
      <c r="D127" s="4" t="n"/>
      <c r="E127" s="4" t="n"/>
      <c r="F127" s="16" t="n"/>
      <c r="G127" s="4" t="n"/>
      <c r="H127" s="4" t="n"/>
      <c r="I127" s="4" t="n"/>
      <c r="J127" s="4" t="n"/>
    </row>
    <row r="128">
      <c r="A128" s="18">
        <f>IF(F128&lt;&gt;"",ROW()-4,"")</f>
        <v/>
      </c>
      <c r="B128" s="15" t="n"/>
      <c r="C128" s="4" t="n"/>
      <c r="D128" s="4" t="n"/>
      <c r="E128" s="4" t="n"/>
      <c r="F128" s="16" t="n"/>
      <c r="G128" s="4" t="n"/>
      <c r="H128" s="4" t="n"/>
      <c r="I128" s="4" t="n"/>
      <c r="J128" s="4" t="n"/>
    </row>
    <row r="129">
      <c r="A129" s="14">
        <f>IF(F129&lt;&gt;"",ROW()-4,"")</f>
        <v/>
      </c>
      <c r="B129" s="15" t="n"/>
      <c r="C129" s="4" t="n"/>
      <c r="D129" s="4" t="n"/>
      <c r="E129" s="4" t="n"/>
      <c r="F129" s="16" t="n"/>
      <c r="G129" s="4" t="n"/>
      <c r="H129" s="4" t="n"/>
      <c r="I129" s="4" t="n"/>
      <c r="J129" s="4" t="n"/>
    </row>
    <row r="130">
      <c r="A130" s="18">
        <f>IF(F130&lt;&gt;"",ROW()-4,"")</f>
        <v/>
      </c>
      <c r="B130" s="15" t="n"/>
      <c r="C130" s="4" t="n"/>
      <c r="D130" s="4" t="n"/>
      <c r="E130" s="4" t="n"/>
      <c r="F130" s="16" t="n"/>
      <c r="G130" s="4" t="n"/>
      <c r="H130" s="4" t="n"/>
      <c r="I130" s="4" t="n"/>
      <c r="J130" s="4" t="n"/>
    </row>
    <row r="131">
      <c r="A131" s="14">
        <f>IF(F131&lt;&gt;"",ROW()-4,"")</f>
        <v/>
      </c>
      <c r="B131" s="15" t="n"/>
      <c r="C131" s="4" t="n"/>
      <c r="D131" s="4" t="n"/>
      <c r="E131" s="4" t="n"/>
      <c r="F131" s="16" t="n"/>
      <c r="G131" s="4" t="n"/>
      <c r="H131" s="4" t="n"/>
      <c r="I131" s="4" t="n"/>
      <c r="J131" s="4" t="n"/>
    </row>
    <row r="132">
      <c r="A132" s="18">
        <f>IF(F132&lt;&gt;"",ROW()-4,"")</f>
        <v/>
      </c>
      <c r="B132" s="15" t="n"/>
      <c r="C132" s="4" t="n"/>
      <c r="D132" s="4" t="n"/>
      <c r="E132" s="4" t="n"/>
      <c r="F132" s="16" t="n"/>
      <c r="G132" s="4" t="n"/>
      <c r="H132" s="4" t="n"/>
      <c r="I132" s="4" t="n"/>
      <c r="J132" s="4" t="n"/>
    </row>
    <row r="133">
      <c r="A133" s="14">
        <f>IF(F133&lt;&gt;"",ROW()-4,"")</f>
        <v/>
      </c>
      <c r="B133" s="15" t="n"/>
      <c r="C133" s="4" t="n"/>
      <c r="D133" s="4" t="n"/>
      <c r="E133" s="4" t="n"/>
      <c r="F133" s="16" t="n"/>
      <c r="G133" s="4" t="n"/>
      <c r="H133" s="4" t="n"/>
      <c r="I133" s="4" t="n"/>
      <c r="J133" s="4" t="n"/>
    </row>
    <row r="134">
      <c r="A134" s="18">
        <f>IF(F134&lt;&gt;"",ROW()-4,"")</f>
        <v/>
      </c>
      <c r="B134" s="15" t="n"/>
      <c r="C134" s="4" t="n"/>
      <c r="D134" s="4" t="n"/>
      <c r="E134" s="4" t="n"/>
      <c r="F134" s="16" t="n"/>
      <c r="G134" s="4" t="n"/>
      <c r="H134" s="4" t="n"/>
      <c r="I134" s="4" t="n"/>
      <c r="J134" s="4" t="n"/>
    </row>
    <row r="135">
      <c r="A135" s="14">
        <f>IF(F135&lt;&gt;"",ROW()-4,"")</f>
        <v/>
      </c>
      <c r="B135" s="15" t="n"/>
      <c r="C135" s="4" t="n"/>
      <c r="D135" s="4" t="n"/>
      <c r="E135" s="4" t="n"/>
      <c r="F135" s="16" t="n"/>
      <c r="G135" s="4" t="n"/>
      <c r="H135" s="4" t="n"/>
      <c r="I135" s="4" t="n"/>
      <c r="J135" s="4" t="n"/>
    </row>
    <row r="136">
      <c r="A136" s="18">
        <f>IF(F136&lt;&gt;"",ROW()-4,"")</f>
        <v/>
      </c>
      <c r="B136" s="15" t="n"/>
      <c r="C136" s="4" t="n"/>
      <c r="D136" s="4" t="n"/>
      <c r="E136" s="4" t="n"/>
      <c r="F136" s="16" t="n"/>
      <c r="G136" s="4" t="n"/>
      <c r="H136" s="4" t="n"/>
      <c r="I136" s="4" t="n"/>
      <c r="J136" s="4" t="n"/>
    </row>
    <row r="137">
      <c r="A137" s="14">
        <f>IF(F137&lt;&gt;"",ROW()-4,"")</f>
        <v/>
      </c>
      <c r="B137" s="15" t="n"/>
      <c r="C137" s="4" t="n"/>
      <c r="D137" s="4" t="n"/>
      <c r="E137" s="4" t="n"/>
      <c r="F137" s="16" t="n"/>
      <c r="G137" s="4" t="n"/>
      <c r="H137" s="4" t="n"/>
      <c r="I137" s="4" t="n"/>
      <c r="J137" s="4" t="n"/>
    </row>
    <row r="138">
      <c r="A138" s="18">
        <f>IF(F138&lt;&gt;"",ROW()-4,"")</f>
        <v/>
      </c>
      <c r="B138" s="15" t="n"/>
      <c r="C138" s="4" t="n"/>
      <c r="D138" s="4" t="n"/>
      <c r="E138" s="4" t="n"/>
      <c r="F138" s="16" t="n"/>
      <c r="G138" s="4" t="n"/>
      <c r="H138" s="4" t="n"/>
      <c r="I138" s="4" t="n"/>
      <c r="J138" s="4" t="n"/>
    </row>
    <row r="139">
      <c r="A139" s="14">
        <f>IF(F139&lt;&gt;"",ROW()-4,"")</f>
        <v/>
      </c>
      <c r="B139" s="15" t="n"/>
      <c r="C139" s="4" t="n"/>
      <c r="D139" s="4" t="n"/>
      <c r="E139" s="4" t="n"/>
      <c r="F139" s="16" t="n"/>
      <c r="G139" s="4" t="n"/>
      <c r="H139" s="4" t="n"/>
      <c r="I139" s="4" t="n"/>
      <c r="J139" s="4" t="n"/>
    </row>
    <row r="140">
      <c r="A140" s="18">
        <f>IF(F140&lt;&gt;"",ROW()-4,"")</f>
        <v/>
      </c>
      <c r="B140" s="15" t="n"/>
      <c r="C140" s="4" t="n"/>
      <c r="D140" s="4" t="n"/>
      <c r="E140" s="4" t="n"/>
      <c r="F140" s="16" t="n"/>
      <c r="G140" s="4" t="n"/>
      <c r="H140" s="4" t="n"/>
      <c r="I140" s="4" t="n"/>
      <c r="J140" s="4" t="n"/>
    </row>
    <row r="141">
      <c r="A141" s="14">
        <f>IF(F141&lt;&gt;"",ROW()-4,"")</f>
        <v/>
      </c>
      <c r="B141" s="15" t="n"/>
      <c r="C141" s="4" t="n"/>
      <c r="D141" s="4" t="n"/>
      <c r="E141" s="4" t="n"/>
      <c r="F141" s="16" t="n"/>
      <c r="G141" s="4" t="n"/>
      <c r="H141" s="4" t="n"/>
      <c r="I141" s="4" t="n"/>
      <c r="J141" s="4" t="n"/>
    </row>
    <row r="142">
      <c r="A142" s="18">
        <f>IF(F142&lt;&gt;"",ROW()-4,"")</f>
        <v/>
      </c>
      <c r="B142" s="15" t="n"/>
      <c r="C142" s="4" t="n"/>
      <c r="D142" s="4" t="n"/>
      <c r="E142" s="4" t="n"/>
      <c r="F142" s="16" t="n"/>
      <c r="G142" s="4" t="n"/>
      <c r="H142" s="4" t="n"/>
      <c r="I142" s="4" t="n"/>
      <c r="J142" s="4" t="n"/>
    </row>
    <row r="143">
      <c r="A143" s="14">
        <f>IF(F143&lt;&gt;"",ROW()-4,"")</f>
        <v/>
      </c>
      <c r="B143" s="15" t="n"/>
      <c r="C143" s="4" t="n"/>
      <c r="D143" s="4" t="n"/>
      <c r="E143" s="4" t="n"/>
      <c r="F143" s="16" t="n"/>
      <c r="G143" s="4" t="n"/>
      <c r="H143" s="4" t="n"/>
      <c r="I143" s="4" t="n"/>
      <c r="J143" s="4" t="n"/>
    </row>
    <row r="144">
      <c r="A144" s="18">
        <f>IF(F144&lt;&gt;"",ROW()-4,"")</f>
        <v/>
      </c>
      <c r="B144" s="15" t="n"/>
      <c r="C144" s="4" t="n"/>
      <c r="D144" s="4" t="n"/>
      <c r="E144" s="4" t="n"/>
      <c r="F144" s="16" t="n"/>
      <c r="G144" s="4" t="n"/>
      <c r="H144" s="4" t="n"/>
      <c r="I144" s="4" t="n"/>
      <c r="J144" s="4" t="n"/>
    </row>
    <row r="145">
      <c r="A145" s="14">
        <f>IF(F145&lt;&gt;"",ROW()-4,"")</f>
        <v/>
      </c>
      <c r="B145" s="15" t="n"/>
      <c r="C145" s="4" t="n"/>
      <c r="D145" s="4" t="n"/>
      <c r="E145" s="4" t="n"/>
      <c r="F145" s="16" t="n"/>
      <c r="G145" s="4" t="n"/>
      <c r="H145" s="4" t="n"/>
      <c r="I145" s="4" t="n"/>
      <c r="J145" s="4" t="n"/>
    </row>
    <row r="146">
      <c r="A146" s="18">
        <f>IF(F146&lt;&gt;"",ROW()-4,"")</f>
        <v/>
      </c>
      <c r="B146" s="15" t="n"/>
      <c r="C146" s="4" t="n"/>
      <c r="D146" s="4" t="n"/>
      <c r="E146" s="4" t="n"/>
      <c r="F146" s="16" t="n"/>
      <c r="G146" s="4" t="n"/>
      <c r="H146" s="4" t="n"/>
      <c r="I146" s="4" t="n"/>
      <c r="J146" s="4" t="n"/>
    </row>
    <row r="147">
      <c r="A147" s="14">
        <f>IF(F147&lt;&gt;"",ROW()-4,"")</f>
        <v/>
      </c>
      <c r="B147" s="15" t="n"/>
      <c r="C147" s="4" t="n"/>
      <c r="D147" s="4" t="n"/>
      <c r="E147" s="4" t="n"/>
      <c r="F147" s="16" t="n"/>
      <c r="G147" s="4" t="n"/>
      <c r="H147" s="4" t="n"/>
      <c r="I147" s="4" t="n"/>
      <c r="J147" s="4" t="n"/>
    </row>
    <row r="148">
      <c r="A148" s="18">
        <f>IF(F148&lt;&gt;"",ROW()-4,"")</f>
        <v/>
      </c>
      <c r="B148" s="15" t="n"/>
      <c r="C148" s="4" t="n"/>
      <c r="D148" s="4" t="n"/>
      <c r="E148" s="4" t="n"/>
      <c r="F148" s="16" t="n"/>
      <c r="G148" s="4" t="n"/>
      <c r="H148" s="4" t="n"/>
      <c r="I148" s="4" t="n"/>
      <c r="J148" s="4" t="n"/>
    </row>
    <row r="149">
      <c r="A149" s="14">
        <f>IF(F149&lt;&gt;"",ROW()-4,"")</f>
        <v/>
      </c>
      <c r="B149" s="15" t="n"/>
      <c r="C149" s="4" t="n"/>
      <c r="D149" s="4" t="n"/>
      <c r="E149" s="4" t="n"/>
      <c r="F149" s="16" t="n"/>
      <c r="G149" s="4" t="n"/>
      <c r="H149" s="4" t="n"/>
      <c r="I149" s="4" t="n"/>
      <c r="J149" s="4" t="n"/>
    </row>
    <row r="150">
      <c r="A150" s="18">
        <f>IF(F150&lt;&gt;"",ROW()-4,"")</f>
        <v/>
      </c>
      <c r="B150" s="15" t="n"/>
      <c r="C150" s="4" t="n"/>
      <c r="D150" s="4" t="n"/>
      <c r="E150" s="4" t="n"/>
      <c r="F150" s="16" t="n"/>
      <c r="G150" s="4" t="n"/>
      <c r="H150" s="4" t="n"/>
      <c r="I150" s="4" t="n"/>
      <c r="J150" s="4" t="n"/>
    </row>
    <row r="151">
      <c r="A151" s="14">
        <f>IF(F151&lt;&gt;"",ROW()-4,"")</f>
        <v/>
      </c>
      <c r="B151" s="15" t="n"/>
      <c r="C151" s="4" t="n"/>
      <c r="D151" s="4" t="n"/>
      <c r="E151" s="4" t="n"/>
      <c r="F151" s="16" t="n"/>
      <c r="G151" s="4" t="n"/>
      <c r="H151" s="4" t="n"/>
      <c r="I151" s="4" t="n"/>
      <c r="J151" s="4" t="n"/>
    </row>
    <row r="152">
      <c r="A152" s="18">
        <f>IF(F152&lt;&gt;"",ROW()-4,"")</f>
        <v/>
      </c>
      <c r="B152" s="15" t="n"/>
      <c r="C152" s="4" t="n"/>
      <c r="D152" s="4" t="n"/>
      <c r="E152" s="4" t="n"/>
      <c r="F152" s="16" t="n"/>
      <c r="G152" s="4" t="n"/>
      <c r="H152" s="4" t="n"/>
      <c r="I152" s="4" t="n"/>
      <c r="J152" s="4" t="n"/>
    </row>
    <row r="153">
      <c r="A153" s="14">
        <f>IF(F153&lt;&gt;"",ROW()-4,"")</f>
        <v/>
      </c>
      <c r="B153" s="15" t="n"/>
      <c r="C153" s="4" t="n"/>
      <c r="D153" s="4" t="n"/>
      <c r="E153" s="4" t="n"/>
      <c r="F153" s="16" t="n"/>
      <c r="G153" s="4" t="n"/>
      <c r="H153" s="4" t="n"/>
      <c r="I153" s="4" t="n"/>
      <c r="J153" s="4" t="n"/>
    </row>
    <row r="154">
      <c r="A154" s="18">
        <f>IF(F154&lt;&gt;"",ROW()-4,"")</f>
        <v/>
      </c>
      <c r="B154" s="15" t="n"/>
      <c r="C154" s="4" t="n"/>
      <c r="D154" s="4" t="n"/>
      <c r="E154" s="4" t="n"/>
      <c r="F154" s="16" t="n"/>
      <c r="G154" s="4" t="n"/>
      <c r="H154" s="4" t="n"/>
      <c r="I154" s="4" t="n"/>
      <c r="J154" s="4" t="n"/>
    </row>
    <row r="155">
      <c r="A155" s="14">
        <f>IF(F155&lt;&gt;"",ROW()-4,"")</f>
        <v/>
      </c>
      <c r="B155" s="15" t="n"/>
      <c r="C155" s="4" t="n"/>
      <c r="D155" s="4" t="n"/>
      <c r="E155" s="4" t="n"/>
      <c r="F155" s="16" t="n"/>
      <c r="G155" s="4" t="n"/>
      <c r="H155" s="4" t="n"/>
      <c r="I155" s="4" t="n"/>
      <c r="J155" s="4" t="n"/>
    </row>
    <row r="156">
      <c r="A156" s="18">
        <f>IF(F156&lt;&gt;"",ROW()-4,"")</f>
        <v/>
      </c>
      <c r="B156" s="15" t="n"/>
      <c r="C156" s="4" t="n"/>
      <c r="D156" s="4" t="n"/>
      <c r="E156" s="4" t="n"/>
      <c r="F156" s="16" t="n"/>
      <c r="G156" s="4" t="n"/>
      <c r="H156" s="4" t="n"/>
      <c r="I156" s="4" t="n"/>
      <c r="J156" s="4" t="n"/>
    </row>
    <row r="157">
      <c r="A157" s="14">
        <f>IF(F157&lt;&gt;"",ROW()-4,"")</f>
        <v/>
      </c>
      <c r="B157" s="15" t="n"/>
      <c r="C157" s="4" t="n"/>
      <c r="D157" s="4" t="n"/>
      <c r="E157" s="4" t="n"/>
      <c r="F157" s="16" t="n"/>
      <c r="G157" s="4" t="n"/>
      <c r="H157" s="4" t="n"/>
      <c r="I157" s="4" t="n"/>
      <c r="J157" s="4" t="n"/>
    </row>
    <row r="158">
      <c r="A158" s="18">
        <f>IF(F158&lt;&gt;"",ROW()-4,"")</f>
        <v/>
      </c>
      <c r="B158" s="15" t="n"/>
      <c r="C158" s="4" t="n"/>
      <c r="D158" s="4" t="n"/>
      <c r="E158" s="4" t="n"/>
      <c r="F158" s="16" t="n"/>
      <c r="G158" s="4" t="n"/>
      <c r="H158" s="4" t="n"/>
      <c r="I158" s="4" t="n"/>
      <c r="J158" s="4" t="n"/>
    </row>
    <row r="159">
      <c r="A159" s="14">
        <f>IF(F159&lt;&gt;"",ROW()-4,"")</f>
        <v/>
      </c>
      <c r="B159" s="15" t="n"/>
      <c r="C159" s="4" t="n"/>
      <c r="D159" s="4" t="n"/>
      <c r="E159" s="4" t="n"/>
      <c r="F159" s="16" t="n"/>
      <c r="G159" s="4" t="n"/>
      <c r="H159" s="4" t="n"/>
      <c r="I159" s="4" t="n"/>
      <c r="J159" s="4" t="n"/>
    </row>
    <row r="160">
      <c r="A160" s="18">
        <f>IF(F160&lt;&gt;"",ROW()-4,"")</f>
        <v/>
      </c>
      <c r="B160" s="15" t="n"/>
      <c r="C160" s="4" t="n"/>
      <c r="D160" s="4" t="n"/>
      <c r="E160" s="4" t="n"/>
      <c r="F160" s="16" t="n"/>
      <c r="G160" s="4" t="n"/>
      <c r="H160" s="4" t="n"/>
      <c r="I160" s="4" t="n"/>
      <c r="J160" s="4" t="n"/>
    </row>
    <row r="161">
      <c r="A161" s="14">
        <f>IF(F161&lt;&gt;"",ROW()-4,"")</f>
        <v/>
      </c>
      <c r="B161" s="15" t="n"/>
      <c r="C161" s="4" t="n"/>
      <c r="D161" s="4" t="n"/>
      <c r="E161" s="4" t="n"/>
      <c r="F161" s="16" t="n"/>
      <c r="G161" s="4" t="n"/>
      <c r="H161" s="4" t="n"/>
      <c r="I161" s="4" t="n"/>
      <c r="J161" s="4" t="n"/>
    </row>
    <row r="162">
      <c r="A162" s="18">
        <f>IF(F162&lt;&gt;"",ROW()-4,"")</f>
        <v/>
      </c>
      <c r="B162" s="15" t="n"/>
      <c r="C162" s="4" t="n"/>
      <c r="D162" s="4" t="n"/>
      <c r="E162" s="4" t="n"/>
      <c r="F162" s="16" t="n"/>
      <c r="G162" s="4" t="n"/>
      <c r="H162" s="4" t="n"/>
      <c r="I162" s="4" t="n"/>
      <c r="J162" s="4" t="n"/>
    </row>
    <row r="163">
      <c r="A163" s="14">
        <f>IF(F163&lt;&gt;"",ROW()-4,"")</f>
        <v/>
      </c>
      <c r="B163" s="15" t="n"/>
      <c r="C163" s="4" t="n"/>
      <c r="D163" s="4" t="n"/>
      <c r="E163" s="4" t="n"/>
      <c r="F163" s="16" t="n"/>
      <c r="G163" s="4" t="n"/>
      <c r="H163" s="4" t="n"/>
      <c r="I163" s="4" t="n"/>
      <c r="J163" s="4" t="n"/>
    </row>
    <row r="164">
      <c r="A164" s="18">
        <f>IF(F164&lt;&gt;"",ROW()-4,"")</f>
        <v/>
      </c>
      <c r="B164" s="15" t="n"/>
      <c r="C164" s="4" t="n"/>
      <c r="D164" s="4" t="n"/>
      <c r="E164" s="4" t="n"/>
      <c r="F164" s="16" t="n"/>
      <c r="G164" s="4" t="n"/>
      <c r="H164" s="4" t="n"/>
      <c r="I164" s="4" t="n"/>
      <c r="J164" s="4" t="n"/>
    </row>
    <row r="165">
      <c r="A165" s="14">
        <f>IF(F165&lt;&gt;"",ROW()-4,"")</f>
        <v/>
      </c>
      <c r="B165" s="15" t="n"/>
      <c r="C165" s="4" t="n"/>
      <c r="D165" s="4" t="n"/>
      <c r="E165" s="4" t="n"/>
      <c r="F165" s="16" t="n"/>
      <c r="G165" s="4" t="n"/>
      <c r="H165" s="4" t="n"/>
      <c r="I165" s="4" t="n"/>
      <c r="J165" s="4" t="n"/>
    </row>
    <row r="166">
      <c r="A166" s="18">
        <f>IF(F166&lt;&gt;"",ROW()-4,"")</f>
        <v/>
      </c>
      <c r="B166" s="15" t="n"/>
      <c r="C166" s="4" t="n"/>
      <c r="D166" s="4" t="n"/>
      <c r="E166" s="4" t="n"/>
      <c r="F166" s="16" t="n"/>
      <c r="G166" s="4" t="n"/>
      <c r="H166" s="4" t="n"/>
      <c r="I166" s="4" t="n"/>
      <c r="J166" s="4" t="n"/>
    </row>
    <row r="167">
      <c r="A167" s="14">
        <f>IF(F167&lt;&gt;"",ROW()-4,"")</f>
        <v/>
      </c>
      <c r="B167" s="15" t="n"/>
      <c r="C167" s="4" t="n"/>
      <c r="D167" s="4" t="n"/>
      <c r="E167" s="4" t="n"/>
      <c r="F167" s="16" t="n"/>
      <c r="G167" s="4" t="n"/>
      <c r="H167" s="4" t="n"/>
      <c r="I167" s="4" t="n"/>
      <c r="J167" s="4" t="n"/>
    </row>
    <row r="168">
      <c r="A168" s="18">
        <f>IF(F168&lt;&gt;"",ROW()-4,"")</f>
        <v/>
      </c>
      <c r="B168" s="15" t="n"/>
      <c r="C168" s="4" t="n"/>
      <c r="D168" s="4" t="n"/>
      <c r="E168" s="4" t="n"/>
      <c r="F168" s="16" t="n"/>
      <c r="G168" s="4" t="n"/>
      <c r="H168" s="4" t="n"/>
      <c r="I168" s="4" t="n"/>
      <c r="J168" s="4" t="n"/>
    </row>
    <row r="169">
      <c r="A169" s="14">
        <f>IF(F169&lt;&gt;"",ROW()-4,"")</f>
        <v/>
      </c>
      <c r="B169" s="15" t="n"/>
      <c r="C169" s="4" t="n"/>
      <c r="D169" s="4" t="n"/>
      <c r="E169" s="4" t="n"/>
      <c r="F169" s="16" t="n"/>
      <c r="G169" s="4" t="n"/>
      <c r="H169" s="4" t="n"/>
      <c r="I169" s="4" t="n"/>
      <c r="J169" s="4" t="n"/>
    </row>
    <row r="170">
      <c r="A170" s="18">
        <f>IF(F170&lt;&gt;"",ROW()-4,"")</f>
        <v/>
      </c>
      <c r="B170" s="15" t="n"/>
      <c r="C170" s="4" t="n"/>
      <c r="D170" s="4" t="n"/>
      <c r="E170" s="4" t="n"/>
      <c r="F170" s="16" t="n"/>
      <c r="G170" s="4" t="n"/>
      <c r="H170" s="4" t="n"/>
      <c r="I170" s="4" t="n"/>
      <c r="J170" s="4" t="n"/>
    </row>
    <row r="171">
      <c r="A171" s="14">
        <f>IF(F171&lt;&gt;"",ROW()-4,"")</f>
        <v/>
      </c>
      <c r="B171" s="15" t="n"/>
      <c r="C171" s="4" t="n"/>
      <c r="D171" s="4" t="n"/>
      <c r="E171" s="4" t="n"/>
      <c r="F171" s="16" t="n"/>
      <c r="G171" s="4" t="n"/>
      <c r="H171" s="4" t="n"/>
      <c r="I171" s="4" t="n"/>
      <c r="J171" s="4" t="n"/>
    </row>
    <row r="172">
      <c r="A172" s="18">
        <f>IF(F172&lt;&gt;"",ROW()-4,"")</f>
        <v/>
      </c>
      <c r="B172" s="15" t="n"/>
      <c r="C172" s="4" t="n"/>
      <c r="D172" s="4" t="n"/>
      <c r="E172" s="4" t="n"/>
      <c r="F172" s="16" t="n"/>
      <c r="G172" s="4" t="n"/>
      <c r="H172" s="4" t="n"/>
      <c r="I172" s="4" t="n"/>
      <c r="J172" s="4" t="n"/>
    </row>
    <row r="173">
      <c r="A173" s="14">
        <f>IF(F173&lt;&gt;"",ROW()-4,"")</f>
        <v/>
      </c>
      <c r="B173" s="15" t="n"/>
      <c r="C173" s="4" t="n"/>
      <c r="D173" s="4" t="n"/>
      <c r="E173" s="4" t="n"/>
      <c r="F173" s="16" t="n"/>
      <c r="G173" s="4" t="n"/>
      <c r="H173" s="4" t="n"/>
      <c r="I173" s="4" t="n"/>
      <c r="J173" s="4" t="n"/>
    </row>
    <row r="174">
      <c r="A174" s="18">
        <f>IF(F174&lt;&gt;"",ROW()-4,"")</f>
        <v/>
      </c>
      <c r="B174" s="15" t="n"/>
      <c r="C174" s="4" t="n"/>
      <c r="D174" s="4" t="n"/>
      <c r="E174" s="4" t="n"/>
      <c r="F174" s="16" t="n"/>
      <c r="G174" s="4" t="n"/>
      <c r="H174" s="4" t="n"/>
      <c r="I174" s="4" t="n"/>
      <c r="J174" s="4" t="n"/>
    </row>
    <row r="175">
      <c r="A175" s="14">
        <f>IF(F175&lt;&gt;"",ROW()-4,"")</f>
        <v/>
      </c>
      <c r="B175" s="15" t="n"/>
      <c r="C175" s="4" t="n"/>
      <c r="D175" s="4" t="n"/>
      <c r="E175" s="4" t="n"/>
      <c r="F175" s="16" t="n"/>
      <c r="G175" s="4" t="n"/>
      <c r="H175" s="4" t="n"/>
      <c r="I175" s="4" t="n"/>
      <c r="J175" s="4" t="n"/>
    </row>
    <row r="176">
      <c r="A176" s="18">
        <f>IF(F176&lt;&gt;"",ROW()-4,"")</f>
        <v/>
      </c>
      <c r="B176" s="15" t="n"/>
      <c r="C176" s="4" t="n"/>
      <c r="D176" s="4" t="n"/>
      <c r="E176" s="4" t="n"/>
      <c r="F176" s="16" t="n"/>
      <c r="G176" s="4" t="n"/>
      <c r="H176" s="4" t="n"/>
      <c r="I176" s="4" t="n"/>
      <c r="J176" s="4" t="n"/>
    </row>
    <row r="177">
      <c r="A177" s="14">
        <f>IF(F177&lt;&gt;"",ROW()-4,"")</f>
        <v/>
      </c>
      <c r="B177" s="15" t="n"/>
      <c r="C177" s="4" t="n"/>
      <c r="D177" s="4" t="n"/>
      <c r="E177" s="4" t="n"/>
      <c r="F177" s="16" t="n"/>
      <c r="G177" s="4" t="n"/>
      <c r="H177" s="4" t="n"/>
      <c r="I177" s="4" t="n"/>
      <c r="J177" s="4" t="n"/>
    </row>
    <row r="178">
      <c r="A178" s="18">
        <f>IF(F178&lt;&gt;"",ROW()-4,"")</f>
        <v/>
      </c>
      <c r="B178" s="15" t="n"/>
      <c r="C178" s="4" t="n"/>
      <c r="D178" s="4" t="n"/>
      <c r="E178" s="4" t="n"/>
      <c r="F178" s="16" t="n"/>
      <c r="G178" s="4" t="n"/>
      <c r="H178" s="4" t="n"/>
      <c r="I178" s="4" t="n"/>
      <c r="J178" s="4" t="n"/>
    </row>
    <row r="179">
      <c r="A179" s="14">
        <f>IF(F179&lt;&gt;"",ROW()-4,"")</f>
        <v/>
      </c>
      <c r="B179" s="15" t="n"/>
      <c r="C179" s="4" t="n"/>
      <c r="D179" s="4" t="n"/>
      <c r="E179" s="4" t="n"/>
      <c r="F179" s="16" t="n"/>
      <c r="G179" s="4" t="n"/>
      <c r="H179" s="4" t="n"/>
      <c r="I179" s="4" t="n"/>
      <c r="J179" s="4" t="n"/>
    </row>
    <row r="180">
      <c r="A180" s="18">
        <f>IF(F180&lt;&gt;"",ROW()-4,"")</f>
        <v/>
      </c>
      <c r="B180" s="15" t="n"/>
      <c r="C180" s="4" t="n"/>
      <c r="D180" s="4" t="n"/>
      <c r="E180" s="4" t="n"/>
      <c r="F180" s="16" t="n"/>
      <c r="G180" s="4" t="n"/>
      <c r="H180" s="4" t="n"/>
      <c r="I180" s="4" t="n"/>
      <c r="J180" s="4" t="n"/>
    </row>
    <row r="181">
      <c r="A181" s="14">
        <f>IF(F181&lt;&gt;"",ROW()-4,"")</f>
        <v/>
      </c>
      <c r="B181" s="15" t="n"/>
      <c r="C181" s="4" t="n"/>
      <c r="D181" s="4" t="n"/>
      <c r="E181" s="4" t="n"/>
      <c r="F181" s="16" t="n"/>
      <c r="G181" s="4" t="n"/>
      <c r="H181" s="4" t="n"/>
      <c r="I181" s="4" t="n"/>
      <c r="J181" s="4" t="n"/>
    </row>
    <row r="182">
      <c r="A182" s="18">
        <f>IF(F182&lt;&gt;"",ROW()-4,"")</f>
        <v/>
      </c>
      <c r="B182" s="15" t="n"/>
      <c r="C182" s="4" t="n"/>
      <c r="D182" s="4" t="n"/>
      <c r="E182" s="4" t="n"/>
      <c r="F182" s="16" t="n"/>
      <c r="G182" s="4" t="n"/>
      <c r="H182" s="4" t="n"/>
      <c r="I182" s="4" t="n"/>
      <c r="J182" s="4" t="n"/>
    </row>
    <row r="183">
      <c r="A183" s="14">
        <f>IF(F183&lt;&gt;"",ROW()-4,"")</f>
        <v/>
      </c>
      <c r="B183" s="15" t="n"/>
      <c r="C183" s="4" t="n"/>
      <c r="D183" s="4" t="n"/>
      <c r="E183" s="4" t="n"/>
      <c r="F183" s="16" t="n"/>
      <c r="G183" s="4" t="n"/>
      <c r="H183" s="4" t="n"/>
      <c r="I183" s="4" t="n"/>
      <c r="J183" s="4" t="n"/>
    </row>
    <row r="184">
      <c r="A184" s="18">
        <f>IF(F184&lt;&gt;"",ROW()-4,"")</f>
        <v/>
      </c>
      <c r="B184" s="15" t="n"/>
      <c r="C184" s="4" t="n"/>
      <c r="D184" s="4" t="n"/>
      <c r="E184" s="4" t="n"/>
      <c r="F184" s="16" t="n"/>
      <c r="G184" s="4" t="n"/>
      <c r="H184" s="4" t="n"/>
      <c r="I184" s="4" t="n"/>
      <c r="J184" s="4" t="n"/>
    </row>
    <row r="185">
      <c r="A185" s="14">
        <f>IF(F185&lt;&gt;"",ROW()-4,"")</f>
        <v/>
      </c>
      <c r="B185" s="15" t="n"/>
      <c r="C185" s="4" t="n"/>
      <c r="D185" s="4" t="n"/>
      <c r="E185" s="4" t="n"/>
      <c r="F185" s="16" t="n"/>
      <c r="G185" s="4" t="n"/>
      <c r="H185" s="4" t="n"/>
      <c r="I185" s="4" t="n"/>
      <c r="J185" s="4" t="n"/>
    </row>
    <row r="186">
      <c r="A186" s="18">
        <f>IF(F186&lt;&gt;"",ROW()-4,"")</f>
        <v/>
      </c>
      <c r="B186" s="15" t="n"/>
      <c r="C186" s="4" t="n"/>
      <c r="D186" s="4" t="n"/>
      <c r="E186" s="4" t="n"/>
      <c r="F186" s="16" t="n"/>
      <c r="G186" s="4" t="n"/>
      <c r="H186" s="4" t="n"/>
      <c r="I186" s="4" t="n"/>
      <c r="J186" s="4" t="n"/>
    </row>
    <row r="187">
      <c r="A187" s="14">
        <f>IF(F187&lt;&gt;"",ROW()-4,"")</f>
        <v/>
      </c>
      <c r="B187" s="15" t="n"/>
      <c r="C187" s="4" t="n"/>
      <c r="D187" s="4" t="n"/>
      <c r="E187" s="4" t="n"/>
      <c r="F187" s="16" t="n"/>
      <c r="G187" s="4" t="n"/>
      <c r="H187" s="4" t="n"/>
      <c r="I187" s="4" t="n"/>
      <c r="J187" s="4" t="n"/>
    </row>
    <row r="188">
      <c r="A188" s="18">
        <f>IF(F188&lt;&gt;"",ROW()-4,"")</f>
        <v/>
      </c>
      <c r="B188" s="15" t="n"/>
      <c r="C188" s="4" t="n"/>
      <c r="D188" s="4" t="n"/>
      <c r="E188" s="4" t="n"/>
      <c r="F188" s="16" t="n"/>
      <c r="G188" s="4" t="n"/>
      <c r="H188" s="4" t="n"/>
      <c r="I188" s="4" t="n"/>
      <c r="J188" s="4" t="n"/>
    </row>
    <row r="189">
      <c r="A189" s="14">
        <f>IF(F189&lt;&gt;"",ROW()-4,"")</f>
        <v/>
      </c>
      <c r="B189" s="15" t="n"/>
      <c r="C189" s="4" t="n"/>
      <c r="D189" s="4" t="n"/>
      <c r="E189" s="4" t="n"/>
      <c r="F189" s="16" t="n"/>
      <c r="G189" s="4" t="n"/>
      <c r="H189" s="4" t="n"/>
      <c r="I189" s="4" t="n"/>
      <c r="J189" s="4" t="n"/>
    </row>
    <row r="190">
      <c r="A190" s="18">
        <f>IF(F190&lt;&gt;"",ROW()-4,"")</f>
        <v/>
      </c>
      <c r="B190" s="15" t="n"/>
      <c r="C190" s="4" t="n"/>
      <c r="D190" s="4" t="n"/>
      <c r="E190" s="4" t="n"/>
      <c r="F190" s="16" t="n"/>
      <c r="G190" s="4" t="n"/>
      <c r="H190" s="4" t="n"/>
      <c r="I190" s="4" t="n"/>
      <c r="J190" s="4" t="n"/>
    </row>
    <row r="191">
      <c r="A191" s="14">
        <f>IF(F191&lt;&gt;"",ROW()-4,"")</f>
        <v/>
      </c>
      <c r="B191" s="15" t="n"/>
      <c r="C191" s="4" t="n"/>
      <c r="D191" s="4" t="n"/>
      <c r="E191" s="4" t="n"/>
      <c r="F191" s="16" t="n"/>
      <c r="G191" s="4" t="n"/>
      <c r="H191" s="4" t="n"/>
      <c r="I191" s="4" t="n"/>
      <c r="J191" s="4" t="n"/>
    </row>
    <row r="192">
      <c r="A192" s="18">
        <f>IF(F192&lt;&gt;"",ROW()-4,"")</f>
        <v/>
      </c>
      <c r="B192" s="15" t="n"/>
      <c r="C192" s="4" t="n"/>
      <c r="D192" s="4" t="n"/>
      <c r="E192" s="4" t="n"/>
      <c r="F192" s="16" t="n"/>
      <c r="G192" s="4" t="n"/>
      <c r="H192" s="4" t="n"/>
      <c r="I192" s="4" t="n"/>
      <c r="J192" s="4" t="n"/>
    </row>
    <row r="193">
      <c r="A193" s="14">
        <f>IF(F193&lt;&gt;"",ROW()-4,"")</f>
        <v/>
      </c>
      <c r="B193" s="15" t="n"/>
      <c r="C193" s="4" t="n"/>
      <c r="D193" s="4" t="n"/>
      <c r="E193" s="4" t="n"/>
      <c r="F193" s="16" t="n"/>
      <c r="G193" s="4" t="n"/>
      <c r="H193" s="4" t="n"/>
      <c r="I193" s="4" t="n"/>
      <c r="J193" s="4" t="n"/>
    </row>
    <row r="194">
      <c r="A194" s="18">
        <f>IF(F194&lt;&gt;"",ROW()-4,"")</f>
        <v/>
      </c>
      <c r="B194" s="15" t="n"/>
      <c r="C194" s="4" t="n"/>
      <c r="D194" s="4" t="n"/>
      <c r="E194" s="4" t="n"/>
      <c r="F194" s="16" t="n"/>
      <c r="G194" s="4" t="n"/>
      <c r="H194" s="4" t="n"/>
      <c r="I194" s="4" t="n"/>
      <c r="J194" s="4" t="n"/>
    </row>
    <row r="195">
      <c r="A195" s="14">
        <f>IF(F195&lt;&gt;"",ROW()-4,"")</f>
        <v/>
      </c>
      <c r="B195" s="15" t="n"/>
      <c r="C195" s="4" t="n"/>
      <c r="D195" s="4" t="n"/>
      <c r="E195" s="4" t="n"/>
      <c r="F195" s="16" t="n"/>
      <c r="G195" s="4" t="n"/>
      <c r="H195" s="4" t="n"/>
      <c r="I195" s="4" t="n"/>
      <c r="J195" s="4" t="n"/>
    </row>
    <row r="196">
      <c r="A196" s="18">
        <f>IF(F196&lt;&gt;"",ROW()-4,"")</f>
        <v/>
      </c>
      <c r="B196" s="15" t="n"/>
      <c r="C196" s="4" t="n"/>
      <c r="D196" s="4" t="n"/>
      <c r="E196" s="4" t="n"/>
      <c r="F196" s="16" t="n"/>
      <c r="G196" s="4" t="n"/>
      <c r="H196" s="4" t="n"/>
      <c r="I196" s="4" t="n"/>
      <c r="J196" s="4" t="n"/>
    </row>
    <row r="197">
      <c r="A197" s="14">
        <f>IF(F197&lt;&gt;"",ROW()-4,"")</f>
        <v/>
      </c>
      <c r="B197" s="15" t="n"/>
      <c r="C197" s="4" t="n"/>
      <c r="D197" s="4" t="n"/>
      <c r="E197" s="4" t="n"/>
      <c r="F197" s="16" t="n"/>
      <c r="G197" s="4" t="n"/>
      <c r="H197" s="4" t="n"/>
      <c r="I197" s="4" t="n"/>
      <c r="J197" s="4" t="n"/>
    </row>
    <row r="198">
      <c r="A198" s="18">
        <f>IF(F198&lt;&gt;"",ROW()-4,"")</f>
        <v/>
      </c>
      <c r="B198" s="15" t="n"/>
      <c r="C198" s="4" t="n"/>
      <c r="D198" s="4" t="n"/>
      <c r="E198" s="4" t="n"/>
      <c r="F198" s="16" t="n"/>
      <c r="G198" s="4" t="n"/>
      <c r="H198" s="4" t="n"/>
      <c r="I198" s="4" t="n"/>
      <c r="J198" s="4" t="n"/>
    </row>
    <row r="199">
      <c r="A199" s="14">
        <f>IF(F199&lt;&gt;"",ROW()-4,"")</f>
        <v/>
      </c>
      <c r="B199" s="15" t="n"/>
      <c r="C199" s="4" t="n"/>
      <c r="D199" s="4" t="n"/>
      <c r="E199" s="4" t="n"/>
      <c r="F199" s="16" t="n"/>
      <c r="G199" s="4" t="n"/>
      <c r="H199" s="4" t="n"/>
      <c r="I199" s="4" t="n"/>
      <c r="J199" s="4" t="n"/>
    </row>
    <row r="200">
      <c r="A200" s="18">
        <f>IF(F200&lt;&gt;"",ROW()-4,"")</f>
        <v/>
      </c>
      <c r="B200" s="15" t="n"/>
      <c r="C200" s="4" t="n"/>
      <c r="D200" s="4" t="n"/>
      <c r="E200" s="4" t="n"/>
      <c r="F200" s="16" t="n"/>
      <c r="G200" s="4" t="n"/>
      <c r="H200" s="4" t="n"/>
      <c r="I200" s="4" t="n"/>
      <c r="J200" s="4" t="n"/>
    </row>
    <row r="201">
      <c r="A201" s="14">
        <f>IF(F201&lt;&gt;"",ROW()-4,"")</f>
        <v/>
      </c>
      <c r="B201" s="15" t="n"/>
      <c r="C201" s="4" t="n"/>
      <c r="D201" s="4" t="n"/>
      <c r="E201" s="4" t="n"/>
      <c r="F201" s="16" t="n"/>
      <c r="G201" s="4" t="n"/>
      <c r="H201" s="4" t="n"/>
      <c r="I201" s="4" t="n"/>
      <c r="J201" s="4" t="n"/>
    </row>
    <row r="202">
      <c r="A202" s="18">
        <f>IF(F202&lt;&gt;"",ROW()-4,"")</f>
        <v/>
      </c>
      <c r="B202" s="15" t="n"/>
      <c r="C202" s="4" t="n"/>
      <c r="D202" s="4" t="n"/>
      <c r="E202" s="4" t="n"/>
      <c r="F202" s="16" t="n"/>
      <c r="G202" s="4" t="n"/>
      <c r="H202" s="4" t="n"/>
      <c r="I202" s="4" t="n"/>
      <c r="J202" s="4" t="n"/>
    </row>
    <row r="203">
      <c r="A203" s="14">
        <f>IF(F203&lt;&gt;"",ROW()-4,"")</f>
        <v/>
      </c>
      <c r="B203" s="15" t="n"/>
      <c r="C203" s="4" t="n"/>
      <c r="D203" s="4" t="n"/>
      <c r="E203" s="4" t="n"/>
      <c r="F203" s="16" t="n"/>
      <c r="G203" s="4" t="n"/>
      <c r="H203" s="4" t="n"/>
      <c r="I203" s="4" t="n"/>
      <c r="J203" s="4" t="n"/>
    </row>
    <row r="204">
      <c r="A204" s="18">
        <f>IF(F204&lt;&gt;"",ROW()-4,"")</f>
        <v/>
      </c>
      <c r="B204" s="15" t="n"/>
      <c r="C204" s="4" t="n"/>
      <c r="D204" s="4" t="n"/>
      <c r="E204" s="4" t="n"/>
      <c r="F204" s="16" t="n"/>
      <c r="G204" s="4" t="n"/>
      <c r="H204" s="4" t="n"/>
      <c r="I204" s="4" t="n"/>
      <c r="J204" s="4" t="n"/>
    </row>
    <row r="205">
      <c r="A205" s="14">
        <f>IF(F205&lt;&gt;"",ROW()-4,"")</f>
        <v/>
      </c>
      <c r="B205" s="15" t="n"/>
      <c r="C205" s="4" t="n"/>
      <c r="D205" s="4" t="n"/>
      <c r="E205" s="4" t="n"/>
      <c r="F205" s="16" t="n"/>
      <c r="G205" s="4" t="n"/>
      <c r="H205" s="4" t="n"/>
      <c r="I205" s="4" t="n"/>
      <c r="J205" s="4" t="n"/>
    </row>
    <row r="206">
      <c r="A206" s="18">
        <f>IF(F206&lt;&gt;"",ROW()-4,"")</f>
        <v/>
      </c>
      <c r="B206" s="15" t="n"/>
      <c r="C206" s="4" t="n"/>
      <c r="D206" s="4" t="n"/>
      <c r="E206" s="4" t="n"/>
      <c r="F206" s="16" t="n"/>
      <c r="G206" s="4" t="n"/>
      <c r="H206" s="4" t="n"/>
      <c r="I206" s="4" t="n"/>
      <c r="J206" s="4" t="n"/>
    </row>
    <row r="207">
      <c r="A207" s="14">
        <f>IF(F207&lt;&gt;"",ROW()-4,"")</f>
        <v/>
      </c>
      <c r="B207" s="15" t="n"/>
      <c r="C207" s="4" t="n"/>
      <c r="D207" s="4" t="n"/>
      <c r="E207" s="4" t="n"/>
      <c r="F207" s="16" t="n"/>
      <c r="G207" s="4" t="n"/>
      <c r="H207" s="4" t="n"/>
      <c r="I207" s="4" t="n"/>
      <c r="J207" s="4" t="n"/>
    </row>
    <row r="208">
      <c r="A208" s="18">
        <f>IF(F208&lt;&gt;"",ROW()-4,"")</f>
        <v/>
      </c>
      <c r="B208" s="15" t="n"/>
      <c r="C208" s="4" t="n"/>
      <c r="D208" s="4" t="n"/>
      <c r="E208" s="4" t="n"/>
      <c r="F208" s="16" t="n"/>
      <c r="G208" s="4" t="n"/>
      <c r="H208" s="4" t="n"/>
      <c r="I208" s="4" t="n"/>
      <c r="J208" s="4" t="n"/>
    </row>
    <row r="209">
      <c r="A209" s="14">
        <f>IF(F209&lt;&gt;"",ROW()-4,"")</f>
        <v/>
      </c>
      <c r="B209" s="15" t="n"/>
      <c r="C209" s="4" t="n"/>
      <c r="D209" s="4" t="n"/>
      <c r="E209" s="4" t="n"/>
      <c r="F209" s="16" t="n"/>
      <c r="G209" s="4" t="n"/>
      <c r="H209" s="4" t="n"/>
      <c r="I209" s="4" t="n"/>
      <c r="J209" s="4" t="n"/>
    </row>
    <row r="210">
      <c r="A210" s="18">
        <f>IF(F210&lt;&gt;"",ROW()-4,"")</f>
        <v/>
      </c>
      <c r="B210" s="15" t="n"/>
      <c r="C210" s="4" t="n"/>
      <c r="D210" s="4" t="n"/>
      <c r="E210" s="4" t="n"/>
      <c r="F210" s="16" t="n"/>
      <c r="G210" s="4" t="n"/>
      <c r="H210" s="4" t="n"/>
      <c r="I210" s="4" t="n"/>
      <c r="J210" s="4" t="n"/>
    </row>
    <row r="211">
      <c r="A211" s="14">
        <f>IF(F211&lt;&gt;"",ROW()-4,"")</f>
        <v/>
      </c>
      <c r="B211" s="15" t="n"/>
      <c r="C211" s="4" t="n"/>
      <c r="D211" s="4" t="n"/>
      <c r="E211" s="4" t="n"/>
      <c r="F211" s="16" t="n"/>
      <c r="G211" s="4" t="n"/>
      <c r="H211" s="4" t="n"/>
      <c r="I211" s="4" t="n"/>
      <c r="J211" s="4" t="n"/>
    </row>
    <row r="212">
      <c r="A212" s="18">
        <f>IF(F212&lt;&gt;"",ROW()-4,"")</f>
        <v/>
      </c>
      <c r="B212" s="15" t="n"/>
      <c r="C212" s="4" t="n"/>
      <c r="D212" s="4" t="n"/>
      <c r="E212" s="4" t="n"/>
      <c r="F212" s="16" t="n"/>
      <c r="G212" s="4" t="n"/>
      <c r="H212" s="4" t="n"/>
      <c r="I212" s="4" t="n"/>
      <c r="J212" s="4" t="n"/>
    </row>
    <row r="213">
      <c r="A213" s="14">
        <f>IF(F213&lt;&gt;"",ROW()-4,"")</f>
        <v/>
      </c>
      <c r="B213" s="15" t="n"/>
      <c r="C213" s="4" t="n"/>
      <c r="D213" s="4" t="n"/>
      <c r="E213" s="4" t="n"/>
      <c r="F213" s="16" t="n"/>
      <c r="G213" s="4" t="n"/>
      <c r="H213" s="4" t="n"/>
      <c r="I213" s="4" t="n"/>
      <c r="J213" s="4" t="n"/>
    </row>
    <row r="214">
      <c r="A214" s="18">
        <f>IF(F214&lt;&gt;"",ROW()-4,"")</f>
        <v/>
      </c>
      <c r="B214" s="15" t="n"/>
      <c r="C214" s="4" t="n"/>
      <c r="D214" s="4" t="n"/>
      <c r="E214" s="4" t="n"/>
      <c r="F214" s="16" t="n"/>
      <c r="G214" s="4" t="n"/>
      <c r="H214" s="4" t="n"/>
      <c r="I214" s="4" t="n"/>
      <c r="J214" s="4" t="n"/>
    </row>
    <row r="215">
      <c r="A215" s="14">
        <f>IF(F215&lt;&gt;"",ROW()-4,"")</f>
        <v/>
      </c>
      <c r="B215" s="15" t="n"/>
      <c r="C215" s="4" t="n"/>
      <c r="D215" s="4" t="n"/>
      <c r="E215" s="4" t="n"/>
      <c r="F215" s="16" t="n"/>
      <c r="G215" s="4" t="n"/>
      <c r="H215" s="4" t="n"/>
      <c r="I215" s="4" t="n"/>
      <c r="J215" s="4" t="n"/>
    </row>
    <row r="216">
      <c r="A216" s="18">
        <f>IF(F216&lt;&gt;"",ROW()-4,"")</f>
        <v/>
      </c>
      <c r="B216" s="15" t="n"/>
      <c r="C216" s="4" t="n"/>
      <c r="D216" s="4" t="n"/>
      <c r="E216" s="4" t="n"/>
      <c r="F216" s="16" t="n"/>
      <c r="G216" s="4" t="n"/>
      <c r="H216" s="4" t="n"/>
      <c r="I216" s="4" t="n"/>
      <c r="J216" s="4" t="n"/>
    </row>
    <row r="217">
      <c r="A217" s="14">
        <f>IF(F217&lt;&gt;"",ROW()-4,"")</f>
        <v/>
      </c>
      <c r="B217" s="15" t="n"/>
      <c r="C217" s="4" t="n"/>
      <c r="D217" s="4" t="n"/>
      <c r="E217" s="4" t="n"/>
      <c r="F217" s="16" t="n"/>
      <c r="G217" s="4" t="n"/>
      <c r="H217" s="4" t="n"/>
      <c r="I217" s="4" t="n"/>
      <c r="J217" s="4" t="n"/>
    </row>
    <row r="218">
      <c r="A218" s="18">
        <f>IF(F218&lt;&gt;"",ROW()-4,"")</f>
        <v/>
      </c>
      <c r="B218" s="15" t="n"/>
      <c r="C218" s="4" t="n"/>
      <c r="D218" s="4" t="n"/>
      <c r="E218" s="4" t="n"/>
      <c r="F218" s="16" t="n"/>
      <c r="G218" s="4" t="n"/>
      <c r="H218" s="4" t="n"/>
      <c r="I218" s="4" t="n"/>
      <c r="J218" s="4" t="n"/>
    </row>
    <row r="219">
      <c r="A219" s="14">
        <f>IF(F219&lt;&gt;"",ROW()-4,"")</f>
        <v/>
      </c>
      <c r="B219" s="15" t="n"/>
      <c r="C219" s="4" t="n"/>
      <c r="D219" s="4" t="n"/>
      <c r="E219" s="4" t="n"/>
      <c r="F219" s="16" t="n"/>
      <c r="G219" s="4" t="n"/>
      <c r="H219" s="4" t="n"/>
      <c r="I219" s="4" t="n"/>
      <c r="J219" s="4" t="n"/>
    </row>
    <row r="220">
      <c r="A220" s="18">
        <f>IF(F220&lt;&gt;"",ROW()-4,"")</f>
        <v/>
      </c>
      <c r="B220" s="15" t="n"/>
      <c r="C220" s="4" t="n"/>
      <c r="D220" s="4" t="n"/>
      <c r="E220" s="4" t="n"/>
      <c r="F220" s="16" t="n"/>
      <c r="G220" s="4" t="n"/>
      <c r="H220" s="4" t="n"/>
      <c r="I220" s="4" t="n"/>
      <c r="J220" s="4" t="n"/>
    </row>
    <row r="221">
      <c r="A221" s="14">
        <f>IF(F221&lt;&gt;"",ROW()-4,"")</f>
        <v/>
      </c>
      <c r="B221" s="15" t="n"/>
      <c r="C221" s="4" t="n"/>
      <c r="D221" s="4" t="n"/>
      <c r="E221" s="4" t="n"/>
      <c r="F221" s="16" t="n"/>
      <c r="G221" s="4" t="n"/>
      <c r="H221" s="4" t="n"/>
      <c r="I221" s="4" t="n"/>
      <c r="J221" s="4" t="n"/>
    </row>
    <row r="222">
      <c r="A222" s="18">
        <f>IF(F222&lt;&gt;"",ROW()-4,"")</f>
        <v/>
      </c>
      <c r="B222" s="15" t="n"/>
      <c r="C222" s="4" t="n"/>
      <c r="D222" s="4" t="n"/>
      <c r="E222" s="4" t="n"/>
      <c r="F222" s="16" t="n"/>
      <c r="G222" s="4" t="n"/>
      <c r="H222" s="4" t="n"/>
      <c r="I222" s="4" t="n"/>
      <c r="J222" s="4" t="n"/>
    </row>
    <row r="223">
      <c r="A223" s="14">
        <f>IF(F223&lt;&gt;"",ROW()-4,"")</f>
        <v/>
      </c>
      <c r="B223" s="15" t="n"/>
      <c r="C223" s="4" t="n"/>
      <c r="D223" s="4" t="n"/>
      <c r="E223" s="4" t="n"/>
      <c r="F223" s="16" t="n"/>
      <c r="G223" s="4" t="n"/>
      <c r="H223" s="4" t="n"/>
      <c r="I223" s="4" t="n"/>
      <c r="J223" s="4" t="n"/>
    </row>
    <row r="224">
      <c r="A224" s="18">
        <f>IF(F224&lt;&gt;"",ROW()-4,"")</f>
        <v/>
      </c>
      <c r="B224" s="15" t="n"/>
      <c r="C224" s="4" t="n"/>
      <c r="D224" s="4" t="n"/>
      <c r="E224" s="4" t="n"/>
      <c r="F224" s="16" t="n"/>
      <c r="G224" s="4" t="n"/>
      <c r="H224" s="4" t="n"/>
      <c r="I224" s="4" t="n"/>
      <c r="J224" s="4" t="n"/>
    </row>
    <row r="225">
      <c r="A225" s="14">
        <f>IF(F225&lt;&gt;"",ROW()-4,"")</f>
        <v/>
      </c>
      <c r="B225" s="15" t="n"/>
      <c r="C225" s="4" t="n"/>
      <c r="D225" s="4" t="n"/>
      <c r="E225" s="4" t="n"/>
      <c r="F225" s="16" t="n"/>
      <c r="G225" s="4" t="n"/>
      <c r="H225" s="4" t="n"/>
      <c r="I225" s="4" t="n"/>
      <c r="J225" s="4" t="n"/>
    </row>
    <row r="226">
      <c r="A226" s="18">
        <f>IF(F226&lt;&gt;"",ROW()-4,"")</f>
        <v/>
      </c>
      <c r="B226" s="15" t="n"/>
      <c r="C226" s="4" t="n"/>
      <c r="D226" s="4" t="n"/>
      <c r="E226" s="4" t="n"/>
      <c r="F226" s="16" t="n"/>
      <c r="G226" s="4" t="n"/>
      <c r="H226" s="4" t="n"/>
      <c r="I226" s="4" t="n"/>
      <c r="J226" s="4" t="n"/>
    </row>
    <row r="227">
      <c r="A227" s="14">
        <f>IF(F227&lt;&gt;"",ROW()-4,"")</f>
        <v/>
      </c>
      <c r="B227" s="15" t="n"/>
      <c r="C227" s="4" t="n"/>
      <c r="D227" s="4" t="n"/>
      <c r="E227" s="4" t="n"/>
      <c r="F227" s="16" t="n"/>
      <c r="G227" s="4" t="n"/>
      <c r="H227" s="4" t="n"/>
      <c r="I227" s="4" t="n"/>
      <c r="J227" s="4" t="n"/>
    </row>
    <row r="228">
      <c r="A228" s="18">
        <f>IF(F228&lt;&gt;"",ROW()-4,"")</f>
        <v/>
      </c>
      <c r="B228" s="15" t="n"/>
      <c r="C228" s="4" t="n"/>
      <c r="D228" s="4" t="n"/>
      <c r="E228" s="4" t="n"/>
      <c r="F228" s="16" t="n"/>
      <c r="G228" s="4" t="n"/>
      <c r="H228" s="4" t="n"/>
      <c r="I228" s="4" t="n"/>
      <c r="J228" s="4" t="n"/>
    </row>
    <row r="229">
      <c r="A229" s="14">
        <f>IF(F229&lt;&gt;"",ROW()-4,"")</f>
        <v/>
      </c>
      <c r="B229" s="15" t="n"/>
      <c r="C229" s="4" t="n"/>
      <c r="D229" s="4" t="n"/>
      <c r="E229" s="4" t="n"/>
      <c r="F229" s="16" t="n"/>
      <c r="G229" s="4" t="n"/>
      <c r="H229" s="4" t="n"/>
      <c r="I229" s="4" t="n"/>
      <c r="J229" s="4" t="n"/>
    </row>
    <row r="230">
      <c r="A230" s="18">
        <f>IF(F230&lt;&gt;"",ROW()-4,"")</f>
        <v/>
      </c>
      <c r="B230" s="15" t="n"/>
      <c r="C230" s="4" t="n"/>
      <c r="D230" s="4" t="n"/>
      <c r="E230" s="4" t="n"/>
      <c r="F230" s="16" t="n"/>
      <c r="G230" s="4" t="n"/>
      <c r="H230" s="4" t="n"/>
      <c r="I230" s="4" t="n"/>
      <c r="J230" s="4" t="n"/>
    </row>
    <row r="231">
      <c r="A231" s="14">
        <f>IF(F231&lt;&gt;"",ROW()-4,"")</f>
        <v/>
      </c>
      <c r="B231" s="15" t="n"/>
      <c r="C231" s="4" t="n"/>
      <c r="D231" s="4" t="n"/>
      <c r="E231" s="4" t="n"/>
      <c r="F231" s="16" t="n"/>
      <c r="G231" s="4" t="n"/>
      <c r="H231" s="4" t="n"/>
      <c r="I231" s="4" t="n"/>
      <c r="J231" s="4" t="n"/>
    </row>
    <row r="232">
      <c r="A232" s="18">
        <f>IF(F232&lt;&gt;"",ROW()-4,"")</f>
        <v/>
      </c>
      <c r="B232" s="15" t="n"/>
      <c r="C232" s="4" t="n"/>
      <c r="D232" s="4" t="n"/>
      <c r="E232" s="4" t="n"/>
      <c r="F232" s="16" t="n"/>
      <c r="G232" s="4" t="n"/>
      <c r="H232" s="4" t="n"/>
      <c r="I232" s="4" t="n"/>
      <c r="J232" s="4" t="n"/>
    </row>
    <row r="233">
      <c r="A233" s="14">
        <f>IF(F233&lt;&gt;"",ROW()-4,"")</f>
        <v/>
      </c>
      <c r="B233" s="15" t="n"/>
      <c r="C233" s="4" t="n"/>
      <c r="D233" s="4" t="n"/>
      <c r="E233" s="4" t="n"/>
      <c r="F233" s="16" t="n"/>
      <c r="G233" s="4" t="n"/>
      <c r="H233" s="4" t="n"/>
      <c r="I233" s="4" t="n"/>
      <c r="J233" s="4" t="n"/>
    </row>
    <row r="234">
      <c r="A234" s="18">
        <f>IF(F234&lt;&gt;"",ROW()-4,"")</f>
        <v/>
      </c>
      <c r="B234" s="15" t="n"/>
      <c r="C234" s="4" t="n"/>
      <c r="D234" s="4" t="n"/>
      <c r="E234" s="4" t="n"/>
      <c r="F234" s="16" t="n"/>
      <c r="G234" s="4" t="n"/>
      <c r="H234" s="4" t="n"/>
      <c r="I234" s="4" t="n"/>
      <c r="J234" s="4" t="n"/>
    </row>
    <row r="235">
      <c r="A235" s="14">
        <f>IF(F235&lt;&gt;"",ROW()-4,"")</f>
        <v/>
      </c>
      <c r="B235" s="15" t="n"/>
      <c r="C235" s="4" t="n"/>
      <c r="D235" s="4" t="n"/>
      <c r="E235" s="4" t="n"/>
      <c r="F235" s="16" t="n"/>
      <c r="G235" s="4" t="n"/>
      <c r="H235" s="4" t="n"/>
      <c r="I235" s="4" t="n"/>
      <c r="J235" s="4" t="n"/>
    </row>
    <row r="236">
      <c r="A236" s="18">
        <f>IF(F236&lt;&gt;"",ROW()-4,"")</f>
        <v/>
      </c>
      <c r="B236" s="15" t="n"/>
      <c r="C236" s="4" t="n"/>
      <c r="D236" s="4" t="n"/>
      <c r="E236" s="4" t="n"/>
      <c r="F236" s="16" t="n"/>
      <c r="G236" s="4" t="n"/>
      <c r="H236" s="4" t="n"/>
      <c r="I236" s="4" t="n"/>
      <c r="J236" s="4" t="n"/>
    </row>
    <row r="237">
      <c r="A237" s="14">
        <f>IF(F237&lt;&gt;"",ROW()-4,"")</f>
        <v/>
      </c>
      <c r="B237" s="15" t="n"/>
      <c r="C237" s="4" t="n"/>
      <c r="D237" s="4" t="n"/>
      <c r="E237" s="4" t="n"/>
      <c r="F237" s="16" t="n"/>
      <c r="G237" s="4" t="n"/>
      <c r="H237" s="4" t="n"/>
      <c r="I237" s="4" t="n"/>
      <c r="J237" s="4" t="n"/>
    </row>
    <row r="238">
      <c r="A238" s="18">
        <f>IF(F238&lt;&gt;"",ROW()-4,"")</f>
        <v/>
      </c>
      <c r="B238" s="15" t="n"/>
      <c r="C238" s="4" t="n"/>
      <c r="D238" s="4" t="n"/>
      <c r="E238" s="4" t="n"/>
      <c r="F238" s="16" t="n"/>
      <c r="G238" s="4" t="n"/>
      <c r="H238" s="4" t="n"/>
      <c r="I238" s="4" t="n"/>
      <c r="J238" s="4" t="n"/>
    </row>
    <row r="239">
      <c r="A239" s="14">
        <f>IF(F239&lt;&gt;"",ROW()-4,"")</f>
        <v/>
      </c>
      <c r="B239" s="15" t="n"/>
      <c r="C239" s="4" t="n"/>
      <c r="D239" s="4" t="n"/>
      <c r="E239" s="4" t="n"/>
      <c r="F239" s="16" t="n"/>
      <c r="G239" s="4" t="n"/>
      <c r="H239" s="4" t="n"/>
      <c r="I239" s="4" t="n"/>
      <c r="J239" s="4" t="n"/>
    </row>
    <row r="240">
      <c r="A240" s="18">
        <f>IF(F240&lt;&gt;"",ROW()-4,"")</f>
        <v/>
      </c>
      <c r="B240" s="15" t="n"/>
      <c r="C240" s="4" t="n"/>
      <c r="D240" s="4" t="n"/>
      <c r="E240" s="4" t="n"/>
      <c r="F240" s="16" t="n"/>
      <c r="G240" s="4" t="n"/>
      <c r="H240" s="4" t="n"/>
      <c r="I240" s="4" t="n"/>
      <c r="J240" s="4" t="n"/>
    </row>
    <row r="241">
      <c r="A241" s="14">
        <f>IF(F241&lt;&gt;"",ROW()-4,"")</f>
        <v/>
      </c>
      <c r="B241" s="15" t="n"/>
      <c r="C241" s="4" t="n"/>
      <c r="D241" s="4" t="n"/>
      <c r="E241" s="4" t="n"/>
      <c r="F241" s="16" t="n"/>
      <c r="G241" s="4" t="n"/>
      <c r="H241" s="4" t="n"/>
      <c r="I241" s="4" t="n"/>
      <c r="J241" s="4" t="n"/>
    </row>
    <row r="242">
      <c r="A242" s="18">
        <f>IF(F242&lt;&gt;"",ROW()-4,"")</f>
        <v/>
      </c>
      <c r="B242" s="15" t="n"/>
      <c r="C242" s="4" t="n"/>
      <c r="D242" s="4" t="n"/>
      <c r="E242" s="4" t="n"/>
      <c r="F242" s="16" t="n"/>
      <c r="G242" s="4" t="n"/>
      <c r="H242" s="4" t="n"/>
      <c r="I242" s="4" t="n"/>
      <c r="J242" s="4" t="n"/>
    </row>
    <row r="243">
      <c r="A243" s="14">
        <f>IF(F243&lt;&gt;"",ROW()-4,"")</f>
        <v/>
      </c>
      <c r="B243" s="15" t="n"/>
      <c r="C243" s="4" t="n"/>
      <c r="D243" s="4" t="n"/>
      <c r="E243" s="4" t="n"/>
      <c r="F243" s="16" t="n"/>
      <c r="G243" s="4" t="n"/>
      <c r="H243" s="4" t="n"/>
      <c r="I243" s="4" t="n"/>
      <c r="J243" s="4" t="n"/>
    </row>
    <row r="244">
      <c r="A244" s="18">
        <f>IF(F244&lt;&gt;"",ROW()-4,"")</f>
        <v/>
      </c>
      <c r="B244" s="15" t="n"/>
      <c r="C244" s="4" t="n"/>
      <c r="D244" s="4" t="n"/>
      <c r="E244" s="4" t="n"/>
      <c r="F244" s="16" t="n"/>
      <c r="G244" s="4" t="n"/>
      <c r="H244" s="4" t="n"/>
      <c r="I244" s="4" t="n"/>
      <c r="J244" s="4" t="n"/>
    </row>
    <row r="245">
      <c r="A245" s="14">
        <f>IF(F245&lt;&gt;"",ROW()-4,"")</f>
        <v/>
      </c>
      <c r="B245" s="15" t="n"/>
      <c r="C245" s="4" t="n"/>
      <c r="D245" s="4" t="n"/>
      <c r="E245" s="4" t="n"/>
      <c r="F245" s="16" t="n"/>
      <c r="G245" s="4" t="n"/>
      <c r="H245" s="4" t="n"/>
      <c r="I245" s="4" t="n"/>
      <c r="J245" s="4" t="n"/>
    </row>
    <row r="246">
      <c r="A246" s="18">
        <f>IF(F246&lt;&gt;"",ROW()-4,"")</f>
        <v/>
      </c>
      <c r="B246" s="15" t="n"/>
      <c r="C246" s="4" t="n"/>
      <c r="D246" s="4" t="n"/>
      <c r="E246" s="4" t="n"/>
      <c r="F246" s="16" t="n"/>
      <c r="G246" s="4" t="n"/>
      <c r="H246" s="4" t="n"/>
      <c r="I246" s="4" t="n"/>
      <c r="J246" s="4" t="n"/>
    </row>
    <row r="247">
      <c r="A247" s="14">
        <f>IF(F247&lt;&gt;"",ROW()-4,"")</f>
        <v/>
      </c>
      <c r="B247" s="15" t="n"/>
      <c r="C247" s="4" t="n"/>
      <c r="D247" s="4" t="n"/>
      <c r="E247" s="4" t="n"/>
      <c r="F247" s="16" t="n"/>
      <c r="G247" s="4" t="n"/>
      <c r="H247" s="4" t="n"/>
      <c r="I247" s="4" t="n"/>
      <c r="J247" s="4" t="n"/>
    </row>
    <row r="248">
      <c r="A248" s="18">
        <f>IF(F248&lt;&gt;"",ROW()-4,"")</f>
        <v/>
      </c>
      <c r="B248" s="15" t="n"/>
      <c r="C248" s="4" t="n"/>
      <c r="D248" s="4" t="n"/>
      <c r="E248" s="4" t="n"/>
      <c r="F248" s="16" t="n"/>
      <c r="G248" s="4" t="n"/>
      <c r="H248" s="4" t="n"/>
      <c r="I248" s="4" t="n"/>
      <c r="J248" s="4" t="n"/>
    </row>
    <row r="249">
      <c r="A249" s="14">
        <f>IF(F249&lt;&gt;"",ROW()-4,"")</f>
        <v/>
      </c>
      <c r="B249" s="15" t="n"/>
      <c r="C249" s="4" t="n"/>
      <c r="D249" s="4" t="n"/>
      <c r="E249" s="4" t="n"/>
      <c r="F249" s="16" t="n"/>
      <c r="G249" s="4" t="n"/>
      <c r="H249" s="4" t="n"/>
      <c r="I249" s="4" t="n"/>
      <c r="J249" s="4" t="n"/>
    </row>
    <row r="250">
      <c r="A250" s="18">
        <f>IF(F250&lt;&gt;"",ROW()-4,"")</f>
        <v/>
      </c>
      <c r="B250" s="15" t="n"/>
      <c r="C250" s="4" t="n"/>
      <c r="D250" s="4" t="n"/>
      <c r="E250" s="4" t="n"/>
      <c r="F250" s="16" t="n"/>
      <c r="G250" s="4" t="n"/>
      <c r="H250" s="4" t="n"/>
      <c r="I250" s="4" t="n"/>
      <c r="J250" s="4" t="n"/>
    </row>
    <row r="251">
      <c r="A251" s="14">
        <f>IF(F251&lt;&gt;"",ROW()-4,"")</f>
        <v/>
      </c>
      <c r="B251" s="15" t="n"/>
      <c r="C251" s="4" t="n"/>
      <c r="D251" s="4" t="n"/>
      <c r="E251" s="4" t="n"/>
      <c r="F251" s="16" t="n"/>
      <c r="G251" s="4" t="n"/>
      <c r="H251" s="4" t="n"/>
      <c r="I251" s="4" t="n"/>
      <c r="J251" s="4" t="n"/>
    </row>
    <row r="252">
      <c r="A252" s="18">
        <f>IF(F252&lt;&gt;"",ROW()-4,"")</f>
        <v/>
      </c>
      <c r="B252" s="15" t="n"/>
      <c r="C252" s="4" t="n"/>
      <c r="D252" s="4" t="n"/>
      <c r="E252" s="4" t="n"/>
      <c r="F252" s="16" t="n"/>
      <c r="G252" s="4" t="n"/>
      <c r="H252" s="4" t="n"/>
      <c r="I252" s="4" t="n"/>
      <c r="J252" s="4" t="n"/>
    </row>
    <row r="253">
      <c r="A253" s="14">
        <f>IF(F253&lt;&gt;"",ROW()-4,"")</f>
        <v/>
      </c>
      <c r="B253" s="15" t="n"/>
      <c r="C253" s="4" t="n"/>
      <c r="D253" s="4" t="n"/>
      <c r="E253" s="4" t="n"/>
      <c r="F253" s="16" t="n"/>
      <c r="G253" s="4" t="n"/>
      <c r="H253" s="4" t="n"/>
      <c r="I253" s="4" t="n"/>
      <c r="J253" s="4" t="n"/>
    </row>
    <row r="254">
      <c r="A254" s="18">
        <f>IF(F254&lt;&gt;"",ROW()-4,"")</f>
        <v/>
      </c>
      <c r="B254" s="15" t="n"/>
      <c r="C254" s="4" t="n"/>
      <c r="D254" s="4" t="n"/>
      <c r="E254" s="4" t="n"/>
      <c r="F254" s="16" t="n"/>
      <c r="G254" s="4" t="n"/>
      <c r="H254" s="4" t="n"/>
      <c r="I254" s="4" t="n"/>
      <c r="J254" s="4" t="n"/>
    </row>
    <row r="255">
      <c r="A255" s="14">
        <f>IF(F255&lt;&gt;"",ROW()-4,"")</f>
        <v/>
      </c>
      <c r="B255" s="15" t="n"/>
      <c r="C255" s="4" t="n"/>
      <c r="D255" s="4" t="n"/>
      <c r="E255" s="4" t="n"/>
      <c r="F255" s="16" t="n"/>
      <c r="G255" s="4" t="n"/>
      <c r="H255" s="4" t="n"/>
      <c r="I255" s="4" t="n"/>
      <c r="J255" s="4" t="n"/>
    </row>
    <row r="256" ht="24" customHeight="1">
      <c r="A256" s="19" t="inlineStr">
        <is>
          <t>TOTAL EXPENSES THIS MONTH</t>
        </is>
      </c>
      <c r="F256" s="11">
        <f>SUM(F5:F255)</f>
        <v/>
      </c>
      <c r="G256" s="12" t="n"/>
      <c r="H256" s="12" t="n"/>
      <c r="I256" s="12" t="n"/>
      <c r="J256" s="12" t="n"/>
    </row>
  </sheetData>
  <mergeCells count="3">
    <mergeCell ref="A1:J1"/>
    <mergeCell ref="A2:J2"/>
    <mergeCell ref="A256:E256"/>
  </mergeCells>
  <conditionalFormatting sqref="A5:J255">
    <cfRule type="expression" priority="1" dxfId="0">
      <formula>$D5="Fixed Bills"</formula>
    </cfRule>
    <cfRule type="expression" priority="2" dxfId="1">
      <formula>$D5="Food &amp; Dining"</formula>
    </cfRule>
    <cfRule type="expression" priority="3" dxfId="2">
      <formula>$D5="Transport &amp; Fuel"</formula>
    </cfRule>
    <cfRule type="expression" priority="4" dxfId="3">
      <formula>$D5="Shopping &amp; Clothing"</formula>
    </cfRule>
    <cfRule type="expression" priority="5" dxfId="4">
      <formula>$D5="Entertainment &amp; OTT"</formula>
    </cfRule>
    <cfRule type="expression" priority="6" dxfId="5">
      <formula>$D5="Groceries"</formula>
    </cfRule>
    <cfRule type="expression" priority="7" dxfId="6">
      <formula>$D5="Investment"</formula>
    </cfRule>
    <cfRule type="expression" priority="8" dxfId="7">
      <formula>$D5="Added to Savings"</formula>
    </cfRule>
    <cfRule type="expression" priority="9" dxfId="8">
      <formula>$D5="Credit Card Payment"</formula>
    </cfRule>
    <cfRule type="expression" priority="10" dxfId="9">
      <formula>$D5="Miscellaneous"</formula>
    </cfRule>
  </conditionalFormatting>
  <dataValidations count="5">
    <dataValidation sqref="D5:D255" showErrorMessage="1" showInputMessage="1" allowBlank="1" errorTitle="Invalid Category" error="Pick a category from the list" type="list">
      <formula1>_Lists!$A$1:$A$10</formula1>
    </dataValidation>
    <dataValidation sqref="E5:E255" showErrorMessage="1" showDropDown="0" showInputMessage="1" allowBlank="1" type="list">
      <formula1>_Lists!$O$1:$O$41</formula1>
    </dataValidation>
    <dataValidation sqref="G5:G255" showErrorMessage="1" showInputMessage="1" allowBlank="1" type="list">
      <formula1>_Lists!$Q$1:$Q$8</formula1>
    </dataValidation>
    <dataValidation sqref="H5:H255" showErrorMessage="1" showInputMessage="1" allowBlank="1" type="list">
      <formula1>Setup!$D$5:$D$9</formula1>
    </dataValidation>
    <dataValidation sqref="I5:I255" showErrorMessage="1" showInputMessage="1" allowBlank="1" type="list">
      <formula1>_Lists!$R$1:$R$10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22" customWidth="1" min="4" max="4"/>
    <col width="22" customWidth="1" min="5" max="5"/>
    <col width="14" customWidth="1" min="6" max="6"/>
    <col width="20" customWidth="1" min="7" max="7"/>
    <col width="20" customWidth="1" min="8" max="8"/>
    <col width="22" customWidth="1" min="9" max="9"/>
    <col width="22" customWidth="1" min="10" max="10"/>
    <col width="2" customWidth="1" min="11" max="11"/>
    <col width="26" customWidth="1" min="12" max="12"/>
    <col width="16" customWidth="1" min="13" max="13"/>
  </cols>
  <sheetData>
    <row r="1" ht="36" customHeight="1">
      <c r="A1" s="1" t="inlineStr">
        <is>
          <t>📝  MAY — EXPENSE LOG</t>
        </is>
      </c>
    </row>
    <row r="2" ht="32" customHeight="1">
      <c r="A2" s="13" t="inlineStr">
        <is>
          <t>ℹ️  Date is DateTime. Category dropdown → Sub-category changes automatically. 'Added to Savings' → pick your saving account in Sub-category. CC spend → pick card in 'CC Name'. CC payment → increases card limit.</t>
        </is>
      </c>
    </row>
    <row r="4" ht="28" customHeight="1">
      <c r="A4" s="3" t="inlineStr">
        <is>
          <t>#</t>
        </is>
      </c>
      <c r="B4" s="3" t="inlineStr">
        <is>
          <t>Date &amp; Time</t>
        </is>
      </c>
      <c r="C4" s="3" t="inlineStr">
        <is>
          <t>Description</t>
        </is>
      </c>
      <c r="D4" s="3" t="inlineStr">
        <is>
          <t>Category</t>
        </is>
      </c>
      <c r="E4" s="3" t="inlineStr">
        <is>
          <t>Sub-category</t>
        </is>
      </c>
      <c r="F4" s="3" t="inlineStr">
        <is>
          <t>Amount (₹)</t>
        </is>
      </c>
      <c r="G4" s="3" t="inlineStr">
        <is>
          <t>Paid From</t>
        </is>
      </c>
      <c r="H4" s="3" t="inlineStr">
        <is>
          <t>CC Name</t>
        </is>
      </c>
      <c r="I4" s="3" t="inlineStr">
        <is>
          <t>Account</t>
        </is>
      </c>
      <c r="J4" s="3" t="inlineStr">
        <is>
          <t>Notes</t>
        </is>
      </c>
      <c r="L4" s="3" t="inlineStr">
        <is>
          <t>📊  May Summary</t>
        </is>
      </c>
      <c r="M4" s="3" t="inlineStr">
        <is>
          <t>Amount (₹)</t>
        </is>
      </c>
    </row>
    <row r="5" ht="22" customHeight="1">
      <c r="A5" s="14">
        <f>IF(F5&lt;&gt;"",ROW()-4,"")</f>
        <v/>
      </c>
      <c r="B5" s="15" t="n"/>
      <c r="C5" s="4" t="n"/>
      <c r="D5" s="4" t="n"/>
      <c r="E5" s="4" t="n"/>
      <c r="F5" s="16" t="n"/>
      <c r="G5" s="4" t="n"/>
      <c r="H5" s="4" t="n"/>
      <c r="I5" s="4" t="n"/>
      <c r="J5" s="4" t="n"/>
      <c r="L5" s="17" t="inlineStr">
        <is>
          <t>Total Expenses</t>
        </is>
      </c>
      <c r="M5" s="9">
        <f>F256</f>
        <v/>
      </c>
    </row>
    <row r="6" ht="22" customHeight="1">
      <c r="A6" s="18">
        <f>IF(F6&lt;&gt;"",ROW()-4,"")</f>
        <v/>
      </c>
      <c r="B6" s="15" t="n"/>
      <c r="C6" s="4" t="n"/>
      <c r="D6" s="4" t="n"/>
      <c r="E6" s="4" t="n"/>
      <c r="F6" s="16" t="n"/>
      <c r="G6" s="4" t="n"/>
      <c r="H6" s="4" t="n"/>
      <c r="I6" s="4" t="n"/>
      <c r="J6" s="4" t="n"/>
      <c r="L6" s="17" t="inlineStr">
        <is>
          <t>Income This Month</t>
        </is>
      </c>
      <c r="M6" s="9">
        <f>Income!E5</f>
        <v/>
      </c>
    </row>
    <row r="7" ht="22" customHeight="1">
      <c r="A7" s="14">
        <f>IF(F7&lt;&gt;"",ROW()-4,"")</f>
        <v/>
      </c>
      <c r="B7" s="15" t="n"/>
      <c r="C7" s="4" t="n"/>
      <c r="D7" s="4" t="n"/>
      <c r="E7" s="4" t="n"/>
      <c r="F7" s="16" t="n"/>
      <c r="G7" s="4" t="n"/>
      <c r="H7" s="4" t="n"/>
      <c r="I7" s="4" t="n"/>
      <c r="J7" s="4" t="n"/>
      <c r="L7" s="17" t="inlineStr">
        <is>
          <t>Net This Month</t>
        </is>
      </c>
      <c r="M7" s="9">
        <f>M6-M5</f>
        <v/>
      </c>
    </row>
    <row r="8" ht="22" customHeight="1">
      <c r="A8" s="18">
        <f>IF(F8&lt;&gt;"",ROW()-4,"")</f>
        <v/>
      </c>
      <c r="B8" s="15" t="n"/>
      <c r="C8" s="4" t="n"/>
      <c r="D8" s="4" t="n"/>
      <c r="E8" s="4" t="n"/>
      <c r="F8" s="16" t="n"/>
      <c r="G8" s="4" t="n"/>
      <c r="H8" s="4" t="n"/>
      <c r="I8" s="4" t="n"/>
      <c r="J8" s="4" t="n"/>
      <c r="L8" s="17" t="inlineStr">
        <is>
          <t>Savings 1 (this month)</t>
        </is>
      </c>
      <c r="M8" s="9">
        <f>IF(Setup!A13&lt;&gt;"",SUMIFS(F5:F255,D5:D255,"Added to Savings",I5:I255,Setup!A13)-SUMIFS(F5:F255,G5:G255,Setup!A13),"")</f>
        <v/>
      </c>
    </row>
    <row r="9" ht="22" customHeight="1">
      <c r="A9" s="14">
        <f>IF(F9&lt;&gt;"",ROW()-4,"")</f>
        <v/>
      </c>
      <c r="B9" s="15" t="n"/>
      <c r="C9" s="4" t="n"/>
      <c r="D9" s="4" t="n"/>
      <c r="E9" s="4" t="n"/>
      <c r="F9" s="16" t="n"/>
      <c r="G9" s="4" t="n"/>
      <c r="H9" s="4" t="n"/>
      <c r="I9" s="4" t="n"/>
      <c r="J9" s="4" t="n"/>
      <c r="L9" s="17" t="inlineStr">
        <is>
          <t>Savings 1 (balance)</t>
        </is>
      </c>
      <c r="M9" s="9">
        <f>IF(Setup!A13&lt;&gt;"",Setup!B13+(SUMIFS('April'!F5:F64,'April'!D5:D64,"Added to Savings",'April'!I5:I64,Setup!A13)+SUMIFS('May'!F5:F64,'May'!D5:D64,"Added to Savings",'May'!I5:I64,Setup!A13))-(SUMIFS('April'!F5:F64,'April'!G5:G64,Setup!A13)+SUMIFS('May'!F5:F64,'May'!G5:G64,Setup!A13)),"")</f>
        <v/>
      </c>
    </row>
    <row r="10" ht="22" customHeight="1">
      <c r="A10" s="18">
        <f>IF(F10&lt;&gt;"",ROW()-4,"")</f>
        <v/>
      </c>
      <c r="B10" s="15" t="n"/>
      <c r="C10" s="4" t="n"/>
      <c r="D10" s="4" t="n"/>
      <c r="E10" s="4" t="n"/>
      <c r="F10" s="16" t="n"/>
      <c r="G10" s="4" t="n"/>
      <c r="H10" s="4" t="n"/>
      <c r="I10" s="4" t="n"/>
      <c r="J10" s="4" t="n"/>
      <c r="L10" s="17" t="inlineStr">
        <is>
          <t>Savings 2 (this month)</t>
        </is>
      </c>
      <c r="M10" s="9">
        <f>IF(Setup!A14&lt;&gt;"",SUMIFS(F5:F255,D5:D255,"Added to Savings",I5:I255,Setup!A14)-SUMIFS(F5:F255,G5:G255,Setup!A14),"")</f>
        <v/>
      </c>
    </row>
    <row r="11" ht="22" customHeight="1">
      <c r="A11" s="14">
        <f>IF(F11&lt;&gt;"",ROW()-4,"")</f>
        <v/>
      </c>
      <c r="B11" s="15" t="n"/>
      <c r="C11" s="4" t="n"/>
      <c r="D11" s="4" t="n"/>
      <c r="E11" s="4" t="n"/>
      <c r="F11" s="16" t="n"/>
      <c r="G11" s="4" t="n"/>
      <c r="H11" s="4" t="n"/>
      <c r="I11" s="4" t="n"/>
      <c r="J11" s="4" t="n"/>
      <c r="L11" s="17" t="inlineStr">
        <is>
          <t>Savings 2 (balance)</t>
        </is>
      </c>
      <c r="M11" s="9">
        <f>IF(Setup!A14&lt;&gt;"",Setup!B14+(SUMIFS('April'!F5:F64,'April'!D5:D64,"Added to Savings",'April'!I5:I64,Setup!A14)+SUMIFS('May'!F5:F64,'May'!D5:D64,"Added to Savings",'May'!I5:I64,Setup!A14))-(SUMIFS('April'!F5:F64,'April'!G5:G64,Setup!A14)+SUMIFS('May'!F5:F64,'May'!G5:G64,Setup!A14)),"")</f>
        <v/>
      </c>
    </row>
    <row r="12" ht="22" customHeight="1">
      <c r="A12" s="18">
        <f>IF(F12&lt;&gt;"",ROW()-4,"")</f>
        <v/>
      </c>
      <c r="B12" s="15" t="n"/>
      <c r="C12" s="4" t="n"/>
      <c r="D12" s="4" t="n"/>
      <c r="E12" s="4" t="n"/>
      <c r="F12" s="16" t="n"/>
      <c r="G12" s="4" t="n"/>
      <c r="H12" s="4" t="n"/>
      <c r="I12" s="4" t="n"/>
      <c r="J12" s="4" t="n"/>
      <c r="L12" s="17" t="inlineStr">
        <is>
          <t>Savings 3 (this month)</t>
        </is>
      </c>
      <c r="M12" s="9">
        <f>IF(Setup!A15&lt;&gt;"",SUMIFS(F5:F255,D5:D255,"Added to Savings",I5:I255,Setup!A15)-SUMIFS(F5:F255,G5:G255,Setup!A15),"")</f>
        <v/>
      </c>
    </row>
    <row r="13" ht="22" customHeight="1">
      <c r="A13" s="14">
        <f>IF(F13&lt;&gt;"",ROW()-4,"")</f>
        <v/>
      </c>
      <c r="B13" s="15" t="n"/>
      <c r="C13" s="4" t="n"/>
      <c r="D13" s="4" t="n"/>
      <c r="E13" s="4" t="n"/>
      <c r="F13" s="16" t="n"/>
      <c r="G13" s="4" t="n"/>
      <c r="H13" s="4" t="n"/>
      <c r="I13" s="4" t="n"/>
      <c r="J13" s="4" t="n"/>
      <c r="L13" s="17" t="inlineStr">
        <is>
          <t>Savings 3 (balance)</t>
        </is>
      </c>
      <c r="M13" s="9">
        <f>IF(Setup!A15&lt;&gt;"",Setup!B15+(SUMIFS('April'!F5:F64,'April'!D5:D64,"Added to Savings",'April'!I5:I64,Setup!A15)+SUMIFS('May'!F5:F64,'May'!D5:D64,"Added to Savings",'May'!I5:I64,Setup!A15))-(SUMIFS('April'!F5:F64,'April'!G5:G64,Setup!A15)+SUMIFS('May'!F5:F64,'May'!G5:G64,Setup!A15)),"")</f>
        <v/>
      </c>
    </row>
    <row r="14" ht="22" customHeight="1">
      <c r="A14" s="18">
        <f>IF(F14&lt;&gt;"",ROW()-4,"")</f>
        <v/>
      </c>
      <c r="B14" s="15" t="n"/>
      <c r="C14" s="4" t="n"/>
      <c r="D14" s="4" t="n"/>
      <c r="E14" s="4" t="n"/>
      <c r="F14" s="16" t="n"/>
      <c r="G14" s="4" t="n"/>
      <c r="H14" s="4" t="n"/>
      <c r="I14" s="4" t="n"/>
      <c r="J14" s="4" t="n"/>
      <c r="L14" s="17" t="inlineStr">
        <is>
          <t>Savings 4 (this month)</t>
        </is>
      </c>
      <c r="M14" s="9">
        <f>IF(Setup!A16&lt;&gt;"",SUMIFS(F5:F255,D5:D255,"Added to Savings",I5:I255,Setup!A16)-SUMIFS(F5:F255,G5:G255,Setup!A16),"")</f>
        <v/>
      </c>
    </row>
    <row r="15" ht="22" customHeight="1">
      <c r="A15" s="14">
        <f>IF(F15&lt;&gt;"",ROW()-4,"")</f>
        <v/>
      </c>
      <c r="B15" s="15" t="n"/>
      <c r="C15" s="4" t="n"/>
      <c r="D15" s="4" t="n"/>
      <c r="E15" s="4" t="n"/>
      <c r="F15" s="16" t="n"/>
      <c r="G15" s="4" t="n"/>
      <c r="H15" s="4" t="n"/>
      <c r="I15" s="4" t="n"/>
      <c r="J15" s="4" t="n"/>
      <c r="L15" s="17" t="inlineStr">
        <is>
          <t>Savings 4 (balance)</t>
        </is>
      </c>
      <c r="M15" s="9">
        <f>IF(Setup!A16&lt;&gt;"",Setup!B16+(SUMIFS('April'!F5:F64,'April'!D5:D64,"Added to Savings",'April'!I5:I64,Setup!A16)+SUMIFS('May'!F5:F64,'May'!D5:D64,"Added to Savings",'May'!I5:I64,Setup!A16))-(SUMIFS('April'!F5:F64,'April'!G5:G64,Setup!A16)+SUMIFS('May'!F5:F64,'May'!G5:G64,Setup!A16)),"")</f>
        <v/>
      </c>
    </row>
    <row r="16" ht="22" customHeight="1">
      <c r="A16" s="18">
        <f>IF(F16&lt;&gt;"",ROW()-4,"")</f>
        <v/>
      </c>
      <c r="B16" s="15" t="n"/>
      <c r="C16" s="4" t="n"/>
      <c r="D16" s="4" t="n"/>
      <c r="E16" s="4" t="n"/>
      <c r="F16" s="16" t="n"/>
      <c r="G16" s="4" t="n"/>
      <c r="H16" s="4" t="n"/>
      <c r="I16" s="4" t="n"/>
      <c r="J16" s="4" t="n"/>
      <c r="L16" s="17" t="inlineStr">
        <is>
          <t>Savings 5 (this month)</t>
        </is>
      </c>
      <c r="M16" s="9">
        <f>IF(Setup!A17&lt;&gt;"",SUMIFS(F5:F255,D5:D255,"Added to Savings",I5:I255,Setup!A17)-SUMIFS(F5:F255,G5:G255,Setup!A17),"")</f>
        <v/>
      </c>
    </row>
    <row r="17" ht="22" customHeight="1">
      <c r="A17" s="14">
        <f>IF(F17&lt;&gt;"",ROW()-4,"")</f>
        <v/>
      </c>
      <c r="B17" s="15" t="n"/>
      <c r="C17" s="4" t="n"/>
      <c r="D17" s="4" t="n"/>
      <c r="E17" s="4" t="n"/>
      <c r="F17" s="16" t="n"/>
      <c r="G17" s="4" t="n"/>
      <c r="H17" s="4" t="n"/>
      <c r="I17" s="4" t="n"/>
      <c r="J17" s="4" t="n"/>
      <c r="L17" s="17" t="inlineStr">
        <is>
          <t>Savings 5 (balance)</t>
        </is>
      </c>
      <c r="M17" s="9">
        <f>IF(Setup!A17&lt;&gt;"",Setup!B17+(SUMIFS('April'!F5:F64,'April'!D5:D64,"Added to Savings",'April'!I5:I64,Setup!A17)+SUMIFS('May'!F5:F64,'May'!D5:D64,"Added to Savings",'May'!I5:I64,Setup!A17))-(SUMIFS('April'!F5:F64,'April'!G5:G64,Setup!A17)+SUMIFS('May'!F5:F64,'May'!G5:G64,Setup!A17)),"")</f>
        <v/>
      </c>
    </row>
    <row r="18" ht="22" customHeight="1">
      <c r="A18" s="18">
        <f>IF(F18&lt;&gt;"",ROW()-4,"")</f>
        <v/>
      </c>
      <c r="B18" s="15" t="n"/>
      <c r="C18" s="4" t="n"/>
      <c r="D18" s="4" t="n"/>
      <c r="E18" s="4" t="n"/>
      <c r="F18" s="16" t="n"/>
      <c r="G18" s="4" t="n"/>
      <c r="H18" s="4" t="n"/>
      <c r="I18" s="4" t="n"/>
      <c r="J18" s="4" t="n"/>
      <c r="L18" s="17" t="inlineStr">
        <is>
          <t>Fixed Bills Paid</t>
        </is>
      </c>
      <c r="M18" s="9">
        <f>SUMIF(D5:D255,"Fixed Bills",F5:F255)</f>
        <v/>
      </c>
    </row>
    <row r="19" ht="22" customHeight="1">
      <c r="A19" s="14">
        <f>IF(F19&lt;&gt;"",ROW()-4,"")</f>
        <v/>
      </c>
      <c r="B19" s="15" t="n"/>
      <c r="C19" s="4" t="n"/>
      <c r="D19" s="4" t="n"/>
      <c r="E19" s="4" t="n"/>
      <c r="F19" s="16" t="n"/>
      <c r="G19" s="4" t="n"/>
      <c r="H19" s="4" t="n"/>
      <c r="I19" s="4" t="n"/>
      <c r="J19" s="4" t="n"/>
      <c r="L19" s="17" t="inlineStr">
        <is>
          <t>Food &amp; Dining</t>
        </is>
      </c>
      <c r="M19" s="9">
        <f>SUMIF(D5:D255,"Food &amp; Dining",F5:F255)</f>
        <v/>
      </c>
    </row>
    <row r="20" ht="22" customHeight="1">
      <c r="A20" s="18">
        <f>IF(F20&lt;&gt;"",ROW()-4,"")</f>
        <v/>
      </c>
      <c r="B20" s="15" t="n"/>
      <c r="C20" s="4" t="n"/>
      <c r="D20" s="4" t="n"/>
      <c r="E20" s="4" t="n"/>
      <c r="F20" s="16" t="n"/>
      <c r="G20" s="4" t="n"/>
      <c r="H20" s="4" t="n"/>
      <c r="I20" s="4" t="n"/>
      <c r="J20" s="4" t="n"/>
      <c r="L20" s="17" t="inlineStr">
        <is>
          <t>Transport</t>
        </is>
      </c>
      <c r="M20" s="9">
        <f>SUMIF(D5:D255,"Transport &amp; Fuel",F5:F255)</f>
        <v/>
      </c>
    </row>
    <row r="21" ht="22" customHeight="1">
      <c r="A21" s="14">
        <f>IF(F21&lt;&gt;"",ROW()-4,"")</f>
        <v/>
      </c>
      <c r="B21" s="15" t="n"/>
      <c r="C21" s="4" t="n"/>
      <c r="D21" s="4" t="n"/>
      <c r="E21" s="4" t="n"/>
      <c r="F21" s="16" t="n"/>
      <c r="G21" s="4" t="n"/>
      <c r="H21" s="4" t="n"/>
      <c r="I21" s="4" t="n"/>
      <c r="J21" s="4" t="n"/>
      <c r="L21" s="17" t="inlineStr">
        <is>
          <t>Groceries</t>
        </is>
      </c>
      <c r="M21" s="9">
        <f>SUMIF(D5:D255,"Groceries",F5:F255)</f>
        <v/>
      </c>
    </row>
    <row r="22" ht="22" customHeight="1">
      <c r="A22" s="18">
        <f>IF(F22&lt;&gt;"",ROW()-4,"")</f>
        <v/>
      </c>
      <c r="B22" s="15" t="n"/>
      <c r="C22" s="4" t="n"/>
      <c r="D22" s="4" t="n"/>
      <c r="E22" s="4" t="n"/>
      <c r="F22" s="16" t="n"/>
      <c r="G22" s="4" t="n"/>
      <c r="H22" s="4" t="n"/>
      <c r="I22" s="4" t="n"/>
      <c r="J22" s="4" t="n"/>
      <c r="L22" s="17" t="inlineStr">
        <is>
          <t>Shopping</t>
        </is>
      </c>
      <c r="M22" s="9">
        <f>SUMIF(D5:D255,"Shopping &amp; Clothing",F5:F255)</f>
        <v/>
      </c>
    </row>
    <row r="23" ht="22" customHeight="1">
      <c r="A23" s="14">
        <f>IF(F23&lt;&gt;"",ROW()-4,"")</f>
        <v/>
      </c>
      <c r="B23" s="15" t="n"/>
      <c r="C23" s="4" t="n"/>
      <c r="D23" s="4" t="n"/>
      <c r="E23" s="4" t="n"/>
      <c r="F23" s="16" t="n"/>
      <c r="G23" s="4" t="n"/>
      <c r="H23" s="4" t="n"/>
      <c r="I23" s="4" t="n"/>
      <c r="J23" s="4" t="n"/>
      <c r="L23" s="17" t="inlineStr">
        <is>
          <t>Entertainment</t>
        </is>
      </c>
      <c r="M23" s="9">
        <f>SUMIF(D5:D255,"Entertainment &amp; OTT",F5:F255)</f>
        <v/>
      </c>
    </row>
    <row r="24" ht="22" customHeight="1">
      <c r="A24" s="18">
        <f>IF(F24&lt;&gt;"",ROW()-4,"")</f>
        <v/>
      </c>
      <c r="B24" s="15" t="n"/>
      <c r="C24" s="4" t="n"/>
      <c r="D24" s="4" t="n"/>
      <c r="E24" s="4" t="n"/>
      <c r="F24" s="16" t="n"/>
      <c r="G24" s="4" t="n"/>
      <c r="H24" s="4" t="n"/>
      <c r="I24" s="4" t="n"/>
      <c r="J24" s="4" t="n"/>
      <c r="L24" s="17" t="inlineStr">
        <is>
          <t>Investment</t>
        </is>
      </c>
      <c r="M24" s="9">
        <f>SUMIF(D5:D255,"Investment",F5:F255)</f>
        <v/>
      </c>
    </row>
    <row r="25" ht="22" customHeight="1">
      <c r="A25" s="14">
        <f>IF(F25&lt;&gt;"",ROW()-4,"")</f>
        <v/>
      </c>
      <c r="B25" s="15" t="n"/>
      <c r="C25" s="4" t="n"/>
      <c r="D25" s="4" t="n"/>
      <c r="E25" s="4" t="n"/>
      <c r="F25" s="16" t="n"/>
      <c r="G25" s="4" t="n"/>
      <c r="H25" s="4" t="n"/>
      <c r="I25" s="4" t="n"/>
      <c r="J25" s="4" t="n"/>
      <c r="L25" s="17" t="inlineStr">
        <is>
          <t>Added to Savings</t>
        </is>
      </c>
      <c r="M25" s="9">
        <f>SUMIF(D5:D255,"Added to Savings",F5:F255)</f>
        <v/>
      </c>
    </row>
    <row r="26" ht="22" customHeight="1">
      <c r="A26" s="18">
        <f>IF(F26&lt;&gt;"",ROW()-4,"")</f>
        <v/>
      </c>
      <c r="B26" s="15" t="n"/>
      <c r="C26" s="4" t="n"/>
      <c r="D26" s="4" t="n"/>
      <c r="E26" s="4" t="n"/>
      <c r="F26" s="16" t="n"/>
      <c r="G26" s="4" t="n"/>
      <c r="H26" s="4" t="n"/>
      <c r="I26" s="4" t="n"/>
      <c r="J26" s="4" t="n"/>
      <c r="L26" s="17" t="inlineStr">
        <is>
          <t>CC Payments</t>
        </is>
      </c>
      <c r="M26" s="9">
        <f>SUMIF(D5:D255,"Credit Card Payment",F5:F255)</f>
        <v/>
      </c>
    </row>
    <row r="27" ht="22" customHeight="1">
      <c r="A27" s="14">
        <f>IF(F27&lt;&gt;"",ROW()-4,"")</f>
        <v/>
      </c>
      <c r="B27" s="15" t="n"/>
      <c r="C27" s="4" t="n"/>
      <c r="D27" s="4" t="n"/>
      <c r="E27" s="4" t="n"/>
      <c r="F27" s="16" t="n"/>
      <c r="G27" s="4" t="n"/>
      <c r="H27" s="4" t="n"/>
      <c r="I27" s="4" t="n"/>
      <c r="J27" s="4" t="n"/>
      <c r="L27" s="17" t="inlineStr">
        <is>
          <t>Miscellaneous</t>
        </is>
      </c>
      <c r="M27" s="9">
        <f>SUMIF(D5:D255,"Miscellaneous",F5:F255)</f>
        <v/>
      </c>
    </row>
    <row r="28">
      <c r="A28" s="18">
        <f>IF(F28&lt;&gt;"",ROW()-4,"")</f>
        <v/>
      </c>
      <c r="B28" s="15" t="n"/>
      <c r="C28" s="4" t="n"/>
      <c r="D28" s="4" t="n"/>
      <c r="E28" s="4" t="n"/>
      <c r="F28" s="16" t="n"/>
      <c r="G28" s="4" t="n"/>
      <c r="H28" s="4" t="n"/>
      <c r="I28" s="4" t="n"/>
      <c r="J28" s="4" t="n"/>
    </row>
    <row r="29">
      <c r="A29" s="14">
        <f>IF(F29&lt;&gt;"",ROW()-4,"")</f>
        <v/>
      </c>
      <c r="B29" s="15" t="n"/>
      <c r="C29" s="4" t="n"/>
      <c r="D29" s="4" t="n"/>
      <c r="E29" s="4" t="n"/>
      <c r="F29" s="16" t="n"/>
      <c r="G29" s="4" t="n"/>
      <c r="H29" s="4" t="n"/>
      <c r="I29" s="4" t="n"/>
      <c r="J29" s="4" t="n"/>
    </row>
    <row r="30">
      <c r="A30" s="18">
        <f>IF(F30&lt;&gt;"",ROW()-4,"")</f>
        <v/>
      </c>
      <c r="B30" s="15" t="n"/>
      <c r="C30" s="4" t="n"/>
      <c r="D30" s="4" t="n"/>
      <c r="E30" s="4" t="n"/>
      <c r="F30" s="16" t="n"/>
      <c r="G30" s="4" t="n"/>
      <c r="H30" s="4" t="n"/>
      <c r="I30" s="4" t="n"/>
      <c r="J30" s="4" t="n"/>
    </row>
    <row r="31">
      <c r="A31" s="14">
        <f>IF(F31&lt;&gt;"",ROW()-4,"")</f>
        <v/>
      </c>
      <c r="B31" s="15" t="n"/>
      <c r="C31" s="4" t="n"/>
      <c r="D31" s="4" t="n"/>
      <c r="E31" s="4" t="n"/>
      <c r="F31" s="16" t="n"/>
      <c r="G31" s="4" t="n"/>
      <c r="H31" s="4" t="n"/>
      <c r="I31" s="4" t="n"/>
      <c r="J31" s="4" t="n"/>
    </row>
    <row r="32">
      <c r="A32" s="18">
        <f>IF(F32&lt;&gt;"",ROW()-4,"")</f>
        <v/>
      </c>
      <c r="B32" s="15" t="n"/>
      <c r="C32" s="4" t="n"/>
      <c r="D32" s="4" t="n"/>
      <c r="E32" s="4" t="n"/>
      <c r="F32" s="16" t="n"/>
      <c r="G32" s="4" t="n"/>
      <c r="H32" s="4" t="n"/>
      <c r="I32" s="4" t="n"/>
      <c r="J32" s="4" t="n"/>
    </row>
    <row r="33">
      <c r="A33" s="14">
        <f>IF(F33&lt;&gt;"",ROW()-4,"")</f>
        <v/>
      </c>
      <c r="B33" s="15" t="n"/>
      <c r="C33" s="4" t="n"/>
      <c r="D33" s="4" t="n"/>
      <c r="E33" s="4" t="n"/>
      <c r="F33" s="16" t="n"/>
      <c r="G33" s="4" t="n"/>
      <c r="H33" s="4" t="n"/>
      <c r="I33" s="4" t="n"/>
      <c r="J33" s="4" t="n"/>
    </row>
    <row r="34">
      <c r="A34" s="18">
        <f>IF(F34&lt;&gt;"",ROW()-4,"")</f>
        <v/>
      </c>
      <c r="B34" s="15" t="n"/>
      <c r="C34" s="4" t="n"/>
      <c r="D34" s="4" t="n"/>
      <c r="E34" s="4" t="n"/>
      <c r="F34" s="16" t="n"/>
      <c r="G34" s="4" t="n"/>
      <c r="H34" s="4" t="n"/>
      <c r="I34" s="4" t="n"/>
      <c r="J34" s="4" t="n"/>
    </row>
    <row r="35">
      <c r="A35" s="14">
        <f>IF(F35&lt;&gt;"",ROW()-4,"")</f>
        <v/>
      </c>
      <c r="B35" s="15" t="n"/>
      <c r="C35" s="4" t="n"/>
      <c r="D35" s="4" t="n"/>
      <c r="E35" s="4" t="n"/>
      <c r="F35" s="16" t="n"/>
      <c r="G35" s="4" t="n"/>
      <c r="H35" s="4" t="n"/>
      <c r="I35" s="4" t="n"/>
      <c r="J35" s="4" t="n"/>
    </row>
    <row r="36">
      <c r="A36" s="18">
        <f>IF(F36&lt;&gt;"",ROW()-4,"")</f>
        <v/>
      </c>
      <c r="B36" s="15" t="n"/>
      <c r="C36" s="4" t="n"/>
      <c r="D36" s="4" t="n"/>
      <c r="E36" s="4" t="n"/>
      <c r="F36" s="16" t="n"/>
      <c r="G36" s="4" t="n"/>
      <c r="H36" s="4" t="n"/>
      <c r="I36" s="4" t="n"/>
      <c r="J36" s="4" t="n"/>
    </row>
    <row r="37">
      <c r="A37" s="14">
        <f>IF(F37&lt;&gt;"",ROW()-4,"")</f>
        <v/>
      </c>
      <c r="B37" s="15" t="n"/>
      <c r="C37" s="4" t="n"/>
      <c r="D37" s="4" t="n"/>
      <c r="E37" s="4" t="n"/>
      <c r="F37" s="16" t="n"/>
      <c r="G37" s="4" t="n"/>
      <c r="H37" s="4" t="n"/>
      <c r="I37" s="4" t="n"/>
      <c r="J37" s="4" t="n"/>
    </row>
    <row r="38">
      <c r="A38" s="18">
        <f>IF(F38&lt;&gt;"",ROW()-4,"")</f>
        <v/>
      </c>
      <c r="B38" s="15" t="n"/>
      <c r="C38" s="4" t="n"/>
      <c r="D38" s="4" t="n"/>
      <c r="E38" s="4" t="n"/>
      <c r="F38" s="16" t="n"/>
      <c r="G38" s="4" t="n"/>
      <c r="H38" s="4" t="n"/>
      <c r="I38" s="4" t="n"/>
      <c r="J38" s="4" t="n"/>
    </row>
    <row r="39">
      <c r="A39" s="14">
        <f>IF(F39&lt;&gt;"",ROW()-4,"")</f>
        <v/>
      </c>
      <c r="B39" s="15" t="n"/>
      <c r="C39" s="4" t="n"/>
      <c r="D39" s="4" t="n"/>
      <c r="E39" s="4" t="n"/>
      <c r="F39" s="16" t="n"/>
      <c r="G39" s="4" t="n"/>
      <c r="H39" s="4" t="n"/>
      <c r="I39" s="4" t="n"/>
      <c r="J39" s="4" t="n"/>
    </row>
    <row r="40">
      <c r="A40" s="18">
        <f>IF(F40&lt;&gt;"",ROW()-4,"")</f>
        <v/>
      </c>
      <c r="B40" s="15" t="n"/>
      <c r="C40" s="4" t="n"/>
      <c r="D40" s="4" t="n"/>
      <c r="E40" s="4" t="n"/>
      <c r="F40" s="16" t="n"/>
      <c r="G40" s="4" t="n"/>
      <c r="H40" s="4" t="n"/>
      <c r="I40" s="4" t="n"/>
      <c r="J40" s="4" t="n"/>
    </row>
    <row r="41">
      <c r="A41" s="14">
        <f>IF(F41&lt;&gt;"",ROW()-4,"")</f>
        <v/>
      </c>
      <c r="B41" s="15" t="n"/>
      <c r="C41" s="4" t="n"/>
      <c r="D41" s="4" t="n"/>
      <c r="E41" s="4" t="n"/>
      <c r="F41" s="16" t="n"/>
      <c r="G41" s="4" t="n"/>
      <c r="H41" s="4" t="n"/>
      <c r="I41" s="4" t="n"/>
      <c r="J41" s="4" t="n"/>
    </row>
    <row r="42">
      <c r="A42" s="18">
        <f>IF(F42&lt;&gt;"",ROW()-4,"")</f>
        <v/>
      </c>
      <c r="B42" s="15" t="n"/>
      <c r="C42" s="4" t="n"/>
      <c r="D42" s="4" t="n"/>
      <c r="E42" s="4" t="n"/>
      <c r="F42" s="16" t="n"/>
      <c r="G42" s="4" t="n"/>
      <c r="H42" s="4" t="n"/>
      <c r="I42" s="4" t="n"/>
      <c r="J42" s="4" t="n"/>
    </row>
    <row r="43">
      <c r="A43" s="14">
        <f>IF(F43&lt;&gt;"",ROW()-4,"")</f>
        <v/>
      </c>
      <c r="B43" s="15" t="n"/>
      <c r="C43" s="4" t="n"/>
      <c r="D43" s="4" t="n"/>
      <c r="E43" s="4" t="n"/>
      <c r="F43" s="16" t="n"/>
      <c r="G43" s="4" t="n"/>
      <c r="H43" s="4" t="n"/>
      <c r="I43" s="4" t="n"/>
      <c r="J43" s="4" t="n"/>
    </row>
    <row r="44">
      <c r="A44" s="18">
        <f>IF(F44&lt;&gt;"",ROW()-4,"")</f>
        <v/>
      </c>
      <c r="B44" s="15" t="n"/>
      <c r="C44" s="4" t="n"/>
      <c r="D44" s="4" t="n"/>
      <c r="E44" s="4" t="n"/>
      <c r="F44" s="16" t="n"/>
      <c r="G44" s="4" t="n"/>
      <c r="H44" s="4" t="n"/>
      <c r="I44" s="4" t="n"/>
      <c r="J44" s="4" t="n"/>
    </row>
    <row r="45">
      <c r="A45" s="14">
        <f>IF(F45&lt;&gt;"",ROW()-4,"")</f>
        <v/>
      </c>
      <c r="B45" s="15" t="n"/>
      <c r="C45" s="4" t="n"/>
      <c r="D45" s="4" t="n"/>
      <c r="E45" s="4" t="n"/>
      <c r="F45" s="16" t="n"/>
      <c r="G45" s="4" t="n"/>
      <c r="H45" s="4" t="n"/>
      <c r="I45" s="4" t="n"/>
      <c r="J45" s="4" t="n"/>
    </row>
    <row r="46">
      <c r="A46" s="18">
        <f>IF(F46&lt;&gt;"",ROW()-4,"")</f>
        <v/>
      </c>
      <c r="B46" s="15" t="n"/>
      <c r="C46" s="4" t="n"/>
      <c r="D46" s="4" t="n"/>
      <c r="E46" s="4" t="n"/>
      <c r="F46" s="16" t="n"/>
      <c r="G46" s="4" t="n"/>
      <c r="H46" s="4" t="n"/>
      <c r="I46" s="4" t="n"/>
      <c r="J46" s="4" t="n"/>
    </row>
    <row r="47">
      <c r="A47" s="14">
        <f>IF(F47&lt;&gt;"",ROW()-4,"")</f>
        <v/>
      </c>
      <c r="B47" s="15" t="n"/>
      <c r="C47" s="4" t="n"/>
      <c r="D47" s="4" t="n"/>
      <c r="E47" s="4" t="n"/>
      <c r="F47" s="16" t="n"/>
      <c r="G47" s="4" t="n"/>
      <c r="H47" s="4" t="n"/>
      <c r="I47" s="4" t="n"/>
      <c r="J47" s="4" t="n"/>
    </row>
    <row r="48">
      <c r="A48" s="18">
        <f>IF(F48&lt;&gt;"",ROW()-4,"")</f>
        <v/>
      </c>
      <c r="B48" s="15" t="n"/>
      <c r="C48" s="4" t="n"/>
      <c r="D48" s="4" t="n"/>
      <c r="E48" s="4" t="n"/>
      <c r="F48" s="16" t="n"/>
      <c r="G48" s="4" t="n"/>
      <c r="H48" s="4" t="n"/>
      <c r="I48" s="4" t="n"/>
      <c r="J48" s="4" t="n"/>
    </row>
    <row r="49">
      <c r="A49" s="14">
        <f>IF(F49&lt;&gt;"",ROW()-4,"")</f>
        <v/>
      </c>
      <c r="B49" s="15" t="n"/>
      <c r="C49" s="4" t="n"/>
      <c r="D49" s="4" t="n"/>
      <c r="E49" s="4" t="n"/>
      <c r="F49" s="16" t="n"/>
      <c r="G49" s="4" t="n"/>
      <c r="H49" s="4" t="n"/>
      <c r="I49" s="4" t="n"/>
      <c r="J49" s="4" t="n"/>
    </row>
    <row r="50">
      <c r="A50" s="18">
        <f>IF(F50&lt;&gt;"",ROW()-4,"")</f>
        <v/>
      </c>
      <c r="B50" s="15" t="n"/>
      <c r="C50" s="4" t="n"/>
      <c r="D50" s="4" t="n"/>
      <c r="E50" s="4" t="n"/>
      <c r="F50" s="16" t="n"/>
      <c r="G50" s="4" t="n"/>
      <c r="H50" s="4" t="n"/>
      <c r="I50" s="4" t="n"/>
      <c r="J50" s="4" t="n"/>
    </row>
    <row r="51">
      <c r="A51" s="14">
        <f>IF(F51&lt;&gt;"",ROW()-4,"")</f>
        <v/>
      </c>
      <c r="B51" s="15" t="n"/>
      <c r="C51" s="4" t="n"/>
      <c r="D51" s="4" t="n"/>
      <c r="E51" s="4" t="n"/>
      <c r="F51" s="16" t="n"/>
      <c r="G51" s="4" t="n"/>
      <c r="H51" s="4" t="n"/>
      <c r="I51" s="4" t="n"/>
      <c r="J51" s="4" t="n"/>
    </row>
    <row r="52">
      <c r="A52" s="18">
        <f>IF(F52&lt;&gt;"",ROW()-4,"")</f>
        <v/>
      </c>
      <c r="B52" s="15" t="n"/>
      <c r="C52" s="4" t="n"/>
      <c r="D52" s="4" t="n"/>
      <c r="E52" s="4" t="n"/>
      <c r="F52" s="16" t="n"/>
      <c r="G52" s="4" t="n"/>
      <c r="H52" s="4" t="n"/>
      <c r="I52" s="4" t="n"/>
      <c r="J52" s="4" t="n"/>
    </row>
    <row r="53">
      <c r="A53" s="14">
        <f>IF(F53&lt;&gt;"",ROW()-4,"")</f>
        <v/>
      </c>
      <c r="B53" s="15" t="n"/>
      <c r="C53" s="4" t="n"/>
      <c r="D53" s="4" t="n"/>
      <c r="E53" s="4" t="n"/>
      <c r="F53" s="16" t="n"/>
      <c r="G53" s="4" t="n"/>
      <c r="H53" s="4" t="n"/>
      <c r="I53" s="4" t="n"/>
      <c r="J53" s="4" t="n"/>
    </row>
    <row r="54">
      <c r="A54" s="18">
        <f>IF(F54&lt;&gt;"",ROW()-4,"")</f>
        <v/>
      </c>
      <c r="B54" s="15" t="n"/>
      <c r="C54" s="4" t="n"/>
      <c r="D54" s="4" t="n"/>
      <c r="E54" s="4" t="n"/>
      <c r="F54" s="16" t="n"/>
      <c r="G54" s="4" t="n"/>
      <c r="H54" s="4" t="n"/>
      <c r="I54" s="4" t="n"/>
      <c r="J54" s="4" t="n"/>
    </row>
    <row r="55">
      <c r="A55" s="14">
        <f>IF(F55&lt;&gt;"",ROW()-4,"")</f>
        <v/>
      </c>
      <c r="B55" s="15" t="n"/>
      <c r="C55" s="4" t="n"/>
      <c r="D55" s="4" t="n"/>
      <c r="E55" s="4" t="n"/>
      <c r="F55" s="16" t="n"/>
      <c r="G55" s="4" t="n"/>
      <c r="H55" s="4" t="n"/>
      <c r="I55" s="4" t="n"/>
      <c r="J55" s="4" t="n"/>
    </row>
    <row r="56">
      <c r="A56" s="18">
        <f>IF(F56&lt;&gt;"",ROW()-4,"")</f>
        <v/>
      </c>
      <c r="B56" s="15" t="n"/>
      <c r="C56" s="4" t="n"/>
      <c r="D56" s="4" t="n"/>
      <c r="E56" s="4" t="n"/>
      <c r="F56" s="16" t="n"/>
      <c r="G56" s="4" t="n"/>
      <c r="H56" s="4" t="n"/>
      <c r="I56" s="4" t="n"/>
      <c r="J56" s="4" t="n"/>
    </row>
    <row r="57">
      <c r="A57" s="14">
        <f>IF(F57&lt;&gt;"",ROW()-4,"")</f>
        <v/>
      </c>
      <c r="B57" s="15" t="n"/>
      <c r="C57" s="4" t="n"/>
      <c r="D57" s="4" t="n"/>
      <c r="E57" s="4" t="n"/>
      <c r="F57" s="16" t="n"/>
      <c r="G57" s="4" t="n"/>
      <c r="H57" s="4" t="n"/>
      <c r="I57" s="4" t="n"/>
      <c r="J57" s="4" t="n"/>
    </row>
    <row r="58">
      <c r="A58" s="18">
        <f>IF(F58&lt;&gt;"",ROW()-4,"")</f>
        <v/>
      </c>
      <c r="B58" s="15" t="n"/>
      <c r="C58" s="4" t="n"/>
      <c r="D58" s="4" t="n"/>
      <c r="E58" s="4" t="n"/>
      <c r="F58" s="16" t="n"/>
      <c r="G58" s="4" t="n"/>
      <c r="H58" s="4" t="n"/>
      <c r="I58" s="4" t="n"/>
      <c r="J58" s="4" t="n"/>
    </row>
    <row r="59">
      <c r="A59" s="14">
        <f>IF(F59&lt;&gt;"",ROW()-4,"")</f>
        <v/>
      </c>
      <c r="B59" s="15" t="n"/>
      <c r="C59" s="4" t="n"/>
      <c r="D59" s="4" t="n"/>
      <c r="E59" s="4" t="n"/>
      <c r="F59" s="16" t="n"/>
      <c r="G59" s="4" t="n"/>
      <c r="H59" s="4" t="n"/>
      <c r="I59" s="4" t="n"/>
      <c r="J59" s="4" t="n"/>
    </row>
    <row r="60">
      <c r="A60" s="18">
        <f>IF(F60&lt;&gt;"",ROW()-4,"")</f>
        <v/>
      </c>
      <c r="B60" s="15" t="n"/>
      <c r="C60" s="4" t="n"/>
      <c r="D60" s="4" t="n"/>
      <c r="E60" s="4" t="n"/>
      <c r="F60" s="16" t="n"/>
      <c r="G60" s="4" t="n"/>
      <c r="H60" s="4" t="n"/>
      <c r="I60" s="4" t="n"/>
      <c r="J60" s="4" t="n"/>
    </row>
    <row r="61">
      <c r="A61" s="14">
        <f>IF(F61&lt;&gt;"",ROW()-4,"")</f>
        <v/>
      </c>
      <c r="B61" s="15" t="n"/>
      <c r="C61" s="4" t="n"/>
      <c r="D61" s="4" t="n"/>
      <c r="E61" s="4" t="n"/>
      <c r="F61" s="16" t="n"/>
      <c r="G61" s="4" t="n"/>
      <c r="H61" s="4" t="n"/>
      <c r="I61" s="4" t="n"/>
      <c r="J61" s="4" t="n"/>
    </row>
    <row r="62">
      <c r="A62" s="18">
        <f>IF(F62&lt;&gt;"",ROW()-4,"")</f>
        <v/>
      </c>
      <c r="B62" s="15" t="n"/>
      <c r="C62" s="4" t="n"/>
      <c r="D62" s="4" t="n"/>
      <c r="E62" s="4" t="n"/>
      <c r="F62" s="16" t="n"/>
      <c r="G62" s="4" t="n"/>
      <c r="H62" s="4" t="n"/>
      <c r="I62" s="4" t="n"/>
      <c r="J62" s="4" t="n"/>
    </row>
    <row r="63">
      <c r="A63" s="14">
        <f>IF(F63&lt;&gt;"",ROW()-4,"")</f>
        <v/>
      </c>
      <c r="B63" s="15" t="n"/>
      <c r="C63" s="4" t="n"/>
      <c r="D63" s="4" t="n"/>
      <c r="E63" s="4" t="n"/>
      <c r="F63" s="16" t="n"/>
      <c r="G63" s="4" t="n"/>
      <c r="H63" s="4" t="n"/>
      <c r="I63" s="4" t="n"/>
      <c r="J63" s="4" t="n"/>
    </row>
    <row r="64">
      <c r="A64" s="18">
        <f>IF(F64&lt;&gt;"",ROW()-4,"")</f>
        <v/>
      </c>
      <c r="B64" s="15" t="n"/>
      <c r="C64" s="4" t="n"/>
      <c r="D64" s="4" t="n"/>
      <c r="E64" s="4" t="n"/>
      <c r="F64" s="16" t="n"/>
      <c r="G64" s="4" t="n"/>
      <c r="H64" s="4" t="n"/>
      <c r="I64" s="4" t="n"/>
      <c r="J64" s="4" t="n"/>
    </row>
    <row r="65">
      <c r="A65" s="14">
        <f>IF(F65&lt;&gt;"",ROW()-4,"")</f>
        <v/>
      </c>
      <c r="B65" s="15" t="n"/>
      <c r="C65" s="4" t="n"/>
      <c r="D65" s="4" t="n"/>
      <c r="E65" s="4" t="n"/>
      <c r="F65" s="16" t="n"/>
      <c r="G65" s="4" t="n"/>
      <c r="H65" s="4" t="n"/>
      <c r="I65" s="4" t="n"/>
      <c r="J65" s="4" t="n"/>
    </row>
    <row r="66">
      <c r="A66" s="18">
        <f>IF(F66&lt;&gt;"",ROW()-4,"")</f>
        <v/>
      </c>
      <c r="B66" s="15" t="n"/>
      <c r="C66" s="4" t="n"/>
      <c r="D66" s="4" t="n"/>
      <c r="E66" s="4" t="n"/>
      <c r="F66" s="16" t="n"/>
      <c r="G66" s="4" t="n"/>
      <c r="H66" s="4" t="n"/>
      <c r="I66" s="4" t="n"/>
      <c r="J66" s="4" t="n"/>
    </row>
    <row r="67">
      <c r="A67" s="14">
        <f>IF(F67&lt;&gt;"",ROW()-4,"")</f>
        <v/>
      </c>
      <c r="B67" s="15" t="n"/>
      <c r="C67" s="4" t="n"/>
      <c r="D67" s="4" t="n"/>
      <c r="E67" s="4" t="n"/>
      <c r="F67" s="16" t="n"/>
      <c r="G67" s="4" t="n"/>
      <c r="H67" s="4" t="n"/>
      <c r="I67" s="4" t="n"/>
      <c r="J67" s="4" t="n"/>
    </row>
    <row r="68">
      <c r="A68" s="18">
        <f>IF(F68&lt;&gt;"",ROW()-4,"")</f>
        <v/>
      </c>
      <c r="B68" s="15" t="n"/>
      <c r="C68" s="4" t="n"/>
      <c r="D68" s="4" t="n"/>
      <c r="E68" s="4" t="n"/>
      <c r="F68" s="16" t="n"/>
      <c r="G68" s="4" t="n"/>
      <c r="H68" s="4" t="n"/>
      <c r="I68" s="4" t="n"/>
      <c r="J68" s="4" t="n"/>
    </row>
    <row r="69">
      <c r="A69" s="14">
        <f>IF(F69&lt;&gt;"",ROW()-4,"")</f>
        <v/>
      </c>
      <c r="B69" s="15" t="n"/>
      <c r="C69" s="4" t="n"/>
      <c r="D69" s="4" t="n"/>
      <c r="E69" s="4" t="n"/>
      <c r="F69" s="16" t="n"/>
      <c r="G69" s="4" t="n"/>
      <c r="H69" s="4" t="n"/>
      <c r="I69" s="4" t="n"/>
      <c r="J69" s="4" t="n"/>
    </row>
    <row r="70">
      <c r="A70" s="18">
        <f>IF(F70&lt;&gt;"",ROW()-4,"")</f>
        <v/>
      </c>
      <c r="B70" s="15" t="n"/>
      <c r="C70" s="4" t="n"/>
      <c r="D70" s="4" t="n"/>
      <c r="E70" s="4" t="n"/>
      <c r="F70" s="16" t="n"/>
      <c r="G70" s="4" t="n"/>
      <c r="H70" s="4" t="n"/>
      <c r="I70" s="4" t="n"/>
      <c r="J70" s="4" t="n"/>
    </row>
    <row r="71">
      <c r="A71" s="14">
        <f>IF(F71&lt;&gt;"",ROW()-4,"")</f>
        <v/>
      </c>
      <c r="B71" s="15" t="n"/>
      <c r="C71" s="4" t="n"/>
      <c r="D71" s="4" t="n"/>
      <c r="E71" s="4" t="n"/>
      <c r="F71" s="16" t="n"/>
      <c r="G71" s="4" t="n"/>
      <c r="H71" s="4" t="n"/>
      <c r="I71" s="4" t="n"/>
      <c r="J71" s="4" t="n"/>
    </row>
    <row r="72">
      <c r="A72" s="18">
        <f>IF(F72&lt;&gt;"",ROW()-4,"")</f>
        <v/>
      </c>
      <c r="B72" s="15" t="n"/>
      <c r="C72" s="4" t="n"/>
      <c r="D72" s="4" t="n"/>
      <c r="E72" s="4" t="n"/>
      <c r="F72" s="16" t="n"/>
      <c r="G72" s="4" t="n"/>
      <c r="H72" s="4" t="n"/>
      <c r="I72" s="4" t="n"/>
      <c r="J72" s="4" t="n"/>
    </row>
    <row r="73">
      <c r="A73" s="14">
        <f>IF(F73&lt;&gt;"",ROW()-4,"")</f>
        <v/>
      </c>
      <c r="B73" s="15" t="n"/>
      <c r="C73" s="4" t="n"/>
      <c r="D73" s="4" t="n"/>
      <c r="E73" s="4" t="n"/>
      <c r="F73" s="16" t="n"/>
      <c r="G73" s="4" t="n"/>
      <c r="H73" s="4" t="n"/>
      <c r="I73" s="4" t="n"/>
      <c r="J73" s="4" t="n"/>
    </row>
    <row r="74">
      <c r="A74" s="18">
        <f>IF(F74&lt;&gt;"",ROW()-4,"")</f>
        <v/>
      </c>
      <c r="B74" s="15" t="n"/>
      <c r="C74" s="4" t="n"/>
      <c r="D74" s="4" t="n"/>
      <c r="E74" s="4" t="n"/>
      <c r="F74" s="16" t="n"/>
      <c r="G74" s="4" t="n"/>
      <c r="H74" s="4" t="n"/>
      <c r="I74" s="4" t="n"/>
      <c r="J74" s="4" t="n"/>
    </row>
    <row r="75">
      <c r="A75" s="14">
        <f>IF(F75&lt;&gt;"",ROW()-4,"")</f>
        <v/>
      </c>
      <c r="B75" s="15" t="n"/>
      <c r="C75" s="4" t="n"/>
      <c r="D75" s="4" t="n"/>
      <c r="E75" s="4" t="n"/>
      <c r="F75" s="16" t="n"/>
      <c r="G75" s="4" t="n"/>
      <c r="H75" s="4" t="n"/>
      <c r="I75" s="4" t="n"/>
      <c r="J75" s="4" t="n"/>
    </row>
    <row r="76">
      <c r="A76" s="18">
        <f>IF(F76&lt;&gt;"",ROW()-4,"")</f>
        <v/>
      </c>
      <c r="B76" s="15" t="n"/>
      <c r="C76" s="4" t="n"/>
      <c r="D76" s="4" t="n"/>
      <c r="E76" s="4" t="n"/>
      <c r="F76" s="16" t="n"/>
      <c r="G76" s="4" t="n"/>
      <c r="H76" s="4" t="n"/>
      <c r="I76" s="4" t="n"/>
      <c r="J76" s="4" t="n"/>
    </row>
    <row r="77">
      <c r="A77" s="14">
        <f>IF(F77&lt;&gt;"",ROW()-4,"")</f>
        <v/>
      </c>
      <c r="B77" s="15" t="n"/>
      <c r="C77" s="4" t="n"/>
      <c r="D77" s="4" t="n"/>
      <c r="E77" s="4" t="n"/>
      <c r="F77" s="16" t="n"/>
      <c r="G77" s="4" t="n"/>
      <c r="H77" s="4" t="n"/>
      <c r="I77" s="4" t="n"/>
      <c r="J77" s="4" t="n"/>
    </row>
    <row r="78">
      <c r="A78" s="18">
        <f>IF(F78&lt;&gt;"",ROW()-4,"")</f>
        <v/>
      </c>
      <c r="B78" s="15" t="n"/>
      <c r="C78" s="4" t="n"/>
      <c r="D78" s="4" t="n"/>
      <c r="E78" s="4" t="n"/>
      <c r="F78" s="16" t="n"/>
      <c r="G78" s="4" t="n"/>
      <c r="H78" s="4" t="n"/>
      <c r="I78" s="4" t="n"/>
      <c r="J78" s="4" t="n"/>
    </row>
    <row r="79">
      <c r="A79" s="14">
        <f>IF(F79&lt;&gt;"",ROW()-4,"")</f>
        <v/>
      </c>
      <c r="B79" s="15" t="n"/>
      <c r="C79" s="4" t="n"/>
      <c r="D79" s="4" t="n"/>
      <c r="E79" s="4" t="n"/>
      <c r="F79" s="16" t="n"/>
      <c r="G79" s="4" t="n"/>
      <c r="H79" s="4" t="n"/>
      <c r="I79" s="4" t="n"/>
      <c r="J79" s="4" t="n"/>
    </row>
    <row r="80">
      <c r="A80" s="18">
        <f>IF(F80&lt;&gt;"",ROW()-4,"")</f>
        <v/>
      </c>
      <c r="B80" s="15" t="n"/>
      <c r="C80" s="4" t="n"/>
      <c r="D80" s="4" t="n"/>
      <c r="E80" s="4" t="n"/>
      <c r="F80" s="16" t="n"/>
      <c r="G80" s="4" t="n"/>
      <c r="H80" s="4" t="n"/>
      <c r="I80" s="4" t="n"/>
      <c r="J80" s="4" t="n"/>
    </row>
    <row r="81">
      <c r="A81" s="14">
        <f>IF(F81&lt;&gt;"",ROW()-4,"")</f>
        <v/>
      </c>
      <c r="B81" s="15" t="n"/>
      <c r="C81" s="4" t="n"/>
      <c r="D81" s="4" t="n"/>
      <c r="E81" s="4" t="n"/>
      <c r="F81" s="16" t="n"/>
      <c r="G81" s="4" t="n"/>
      <c r="H81" s="4" t="n"/>
      <c r="I81" s="4" t="n"/>
      <c r="J81" s="4" t="n"/>
    </row>
    <row r="82">
      <c r="A82" s="18">
        <f>IF(F82&lt;&gt;"",ROW()-4,"")</f>
        <v/>
      </c>
      <c r="B82" s="15" t="n"/>
      <c r="C82" s="4" t="n"/>
      <c r="D82" s="4" t="n"/>
      <c r="E82" s="4" t="n"/>
      <c r="F82" s="16" t="n"/>
      <c r="G82" s="4" t="n"/>
      <c r="H82" s="4" t="n"/>
      <c r="I82" s="4" t="n"/>
      <c r="J82" s="4" t="n"/>
    </row>
    <row r="83">
      <c r="A83" s="14">
        <f>IF(F83&lt;&gt;"",ROW()-4,"")</f>
        <v/>
      </c>
      <c r="B83" s="15" t="n"/>
      <c r="C83" s="4" t="n"/>
      <c r="D83" s="4" t="n"/>
      <c r="E83" s="4" t="n"/>
      <c r="F83" s="16" t="n"/>
      <c r="G83" s="4" t="n"/>
      <c r="H83" s="4" t="n"/>
      <c r="I83" s="4" t="n"/>
      <c r="J83" s="4" t="n"/>
    </row>
    <row r="84">
      <c r="A84" s="18">
        <f>IF(F84&lt;&gt;"",ROW()-4,"")</f>
        <v/>
      </c>
      <c r="B84" s="15" t="n"/>
      <c r="C84" s="4" t="n"/>
      <c r="D84" s="4" t="n"/>
      <c r="E84" s="4" t="n"/>
      <c r="F84" s="16" t="n"/>
      <c r="G84" s="4" t="n"/>
      <c r="H84" s="4" t="n"/>
      <c r="I84" s="4" t="n"/>
      <c r="J84" s="4" t="n"/>
    </row>
    <row r="85">
      <c r="A85" s="14">
        <f>IF(F85&lt;&gt;"",ROW()-4,"")</f>
        <v/>
      </c>
      <c r="B85" s="15" t="n"/>
      <c r="C85" s="4" t="n"/>
      <c r="D85" s="4" t="n"/>
      <c r="E85" s="4" t="n"/>
      <c r="F85" s="16" t="n"/>
      <c r="G85" s="4" t="n"/>
      <c r="H85" s="4" t="n"/>
      <c r="I85" s="4" t="n"/>
      <c r="J85" s="4" t="n"/>
    </row>
    <row r="86">
      <c r="A86" s="18">
        <f>IF(F86&lt;&gt;"",ROW()-4,"")</f>
        <v/>
      </c>
      <c r="B86" s="15" t="n"/>
      <c r="C86" s="4" t="n"/>
      <c r="D86" s="4" t="n"/>
      <c r="E86" s="4" t="n"/>
      <c r="F86" s="16" t="n"/>
      <c r="G86" s="4" t="n"/>
      <c r="H86" s="4" t="n"/>
      <c r="I86" s="4" t="n"/>
      <c r="J86" s="4" t="n"/>
    </row>
    <row r="87">
      <c r="A87" s="14">
        <f>IF(F87&lt;&gt;"",ROW()-4,"")</f>
        <v/>
      </c>
      <c r="B87" s="15" t="n"/>
      <c r="C87" s="4" t="n"/>
      <c r="D87" s="4" t="n"/>
      <c r="E87" s="4" t="n"/>
      <c r="F87" s="16" t="n"/>
      <c r="G87" s="4" t="n"/>
      <c r="H87" s="4" t="n"/>
      <c r="I87" s="4" t="n"/>
      <c r="J87" s="4" t="n"/>
    </row>
    <row r="88">
      <c r="A88" s="18">
        <f>IF(F88&lt;&gt;"",ROW()-4,"")</f>
        <v/>
      </c>
      <c r="B88" s="15" t="n"/>
      <c r="C88" s="4" t="n"/>
      <c r="D88" s="4" t="n"/>
      <c r="E88" s="4" t="n"/>
      <c r="F88" s="16" t="n"/>
      <c r="G88" s="4" t="n"/>
      <c r="H88" s="4" t="n"/>
      <c r="I88" s="4" t="n"/>
      <c r="J88" s="4" t="n"/>
    </row>
    <row r="89">
      <c r="A89" s="14">
        <f>IF(F89&lt;&gt;"",ROW()-4,"")</f>
        <v/>
      </c>
      <c r="B89" s="15" t="n"/>
      <c r="C89" s="4" t="n"/>
      <c r="D89" s="4" t="n"/>
      <c r="E89" s="4" t="n"/>
      <c r="F89" s="16" t="n"/>
      <c r="G89" s="4" t="n"/>
      <c r="H89" s="4" t="n"/>
      <c r="I89" s="4" t="n"/>
      <c r="J89" s="4" t="n"/>
    </row>
    <row r="90">
      <c r="A90" s="18">
        <f>IF(F90&lt;&gt;"",ROW()-4,"")</f>
        <v/>
      </c>
      <c r="B90" s="15" t="n"/>
      <c r="C90" s="4" t="n"/>
      <c r="D90" s="4" t="n"/>
      <c r="E90" s="4" t="n"/>
      <c r="F90" s="16" t="n"/>
      <c r="G90" s="4" t="n"/>
      <c r="H90" s="4" t="n"/>
      <c r="I90" s="4" t="n"/>
      <c r="J90" s="4" t="n"/>
    </row>
    <row r="91">
      <c r="A91" s="14">
        <f>IF(F91&lt;&gt;"",ROW()-4,"")</f>
        <v/>
      </c>
      <c r="B91" s="15" t="n"/>
      <c r="C91" s="4" t="n"/>
      <c r="D91" s="4" t="n"/>
      <c r="E91" s="4" t="n"/>
      <c r="F91" s="16" t="n"/>
      <c r="G91" s="4" t="n"/>
      <c r="H91" s="4" t="n"/>
      <c r="I91" s="4" t="n"/>
      <c r="J91" s="4" t="n"/>
    </row>
    <row r="92">
      <c r="A92" s="18">
        <f>IF(F92&lt;&gt;"",ROW()-4,"")</f>
        <v/>
      </c>
      <c r="B92" s="15" t="n"/>
      <c r="C92" s="4" t="n"/>
      <c r="D92" s="4" t="n"/>
      <c r="E92" s="4" t="n"/>
      <c r="F92" s="16" t="n"/>
      <c r="G92" s="4" t="n"/>
      <c r="H92" s="4" t="n"/>
      <c r="I92" s="4" t="n"/>
      <c r="J92" s="4" t="n"/>
    </row>
    <row r="93">
      <c r="A93" s="14">
        <f>IF(F93&lt;&gt;"",ROW()-4,"")</f>
        <v/>
      </c>
      <c r="B93" s="15" t="n"/>
      <c r="C93" s="4" t="n"/>
      <c r="D93" s="4" t="n"/>
      <c r="E93" s="4" t="n"/>
      <c r="F93" s="16" t="n"/>
      <c r="G93" s="4" t="n"/>
      <c r="H93" s="4" t="n"/>
      <c r="I93" s="4" t="n"/>
      <c r="J93" s="4" t="n"/>
    </row>
    <row r="94">
      <c r="A94" s="18">
        <f>IF(F94&lt;&gt;"",ROW()-4,"")</f>
        <v/>
      </c>
      <c r="B94" s="15" t="n"/>
      <c r="C94" s="4" t="n"/>
      <c r="D94" s="4" t="n"/>
      <c r="E94" s="4" t="n"/>
      <c r="F94" s="16" t="n"/>
      <c r="G94" s="4" t="n"/>
      <c r="H94" s="4" t="n"/>
      <c r="I94" s="4" t="n"/>
      <c r="J94" s="4" t="n"/>
    </row>
    <row r="95">
      <c r="A95" s="14">
        <f>IF(F95&lt;&gt;"",ROW()-4,"")</f>
        <v/>
      </c>
      <c r="B95" s="15" t="n"/>
      <c r="C95" s="4" t="n"/>
      <c r="D95" s="4" t="n"/>
      <c r="E95" s="4" t="n"/>
      <c r="F95" s="16" t="n"/>
      <c r="G95" s="4" t="n"/>
      <c r="H95" s="4" t="n"/>
      <c r="I95" s="4" t="n"/>
      <c r="J95" s="4" t="n"/>
    </row>
    <row r="96">
      <c r="A96" s="18">
        <f>IF(F96&lt;&gt;"",ROW()-4,"")</f>
        <v/>
      </c>
      <c r="B96" s="15" t="n"/>
      <c r="C96" s="4" t="n"/>
      <c r="D96" s="4" t="n"/>
      <c r="E96" s="4" t="n"/>
      <c r="F96" s="16" t="n"/>
      <c r="G96" s="4" t="n"/>
      <c r="H96" s="4" t="n"/>
      <c r="I96" s="4" t="n"/>
      <c r="J96" s="4" t="n"/>
    </row>
    <row r="97">
      <c r="A97" s="14">
        <f>IF(F97&lt;&gt;"",ROW()-4,"")</f>
        <v/>
      </c>
      <c r="B97" s="15" t="n"/>
      <c r="C97" s="4" t="n"/>
      <c r="D97" s="4" t="n"/>
      <c r="E97" s="4" t="n"/>
      <c r="F97" s="16" t="n"/>
      <c r="G97" s="4" t="n"/>
      <c r="H97" s="4" t="n"/>
      <c r="I97" s="4" t="n"/>
      <c r="J97" s="4" t="n"/>
    </row>
    <row r="98">
      <c r="A98" s="18">
        <f>IF(F98&lt;&gt;"",ROW()-4,"")</f>
        <v/>
      </c>
      <c r="B98" s="15" t="n"/>
      <c r="C98" s="4" t="n"/>
      <c r="D98" s="4" t="n"/>
      <c r="E98" s="4" t="n"/>
      <c r="F98" s="16" t="n"/>
      <c r="G98" s="4" t="n"/>
      <c r="H98" s="4" t="n"/>
      <c r="I98" s="4" t="n"/>
      <c r="J98" s="4" t="n"/>
    </row>
    <row r="99">
      <c r="A99" s="14">
        <f>IF(F99&lt;&gt;"",ROW()-4,"")</f>
        <v/>
      </c>
      <c r="B99" s="15" t="n"/>
      <c r="C99" s="4" t="n"/>
      <c r="D99" s="4" t="n"/>
      <c r="E99" s="4" t="n"/>
      <c r="F99" s="16" t="n"/>
      <c r="G99" s="4" t="n"/>
      <c r="H99" s="4" t="n"/>
      <c r="I99" s="4" t="n"/>
      <c r="J99" s="4" t="n"/>
    </row>
    <row r="100">
      <c r="A100" s="18">
        <f>IF(F100&lt;&gt;"",ROW()-4,"")</f>
        <v/>
      </c>
      <c r="B100" s="15" t="n"/>
      <c r="C100" s="4" t="n"/>
      <c r="D100" s="4" t="n"/>
      <c r="E100" s="4" t="n"/>
      <c r="F100" s="16" t="n"/>
      <c r="G100" s="4" t="n"/>
      <c r="H100" s="4" t="n"/>
      <c r="I100" s="4" t="n"/>
      <c r="J100" s="4" t="n"/>
    </row>
    <row r="101">
      <c r="A101" s="14">
        <f>IF(F101&lt;&gt;"",ROW()-4,"")</f>
        <v/>
      </c>
      <c r="B101" s="15" t="n"/>
      <c r="C101" s="4" t="n"/>
      <c r="D101" s="4" t="n"/>
      <c r="E101" s="4" t="n"/>
      <c r="F101" s="16" t="n"/>
      <c r="G101" s="4" t="n"/>
      <c r="H101" s="4" t="n"/>
      <c r="I101" s="4" t="n"/>
      <c r="J101" s="4" t="n"/>
    </row>
    <row r="102">
      <c r="A102" s="18">
        <f>IF(F102&lt;&gt;"",ROW()-4,"")</f>
        <v/>
      </c>
      <c r="B102" s="15" t="n"/>
      <c r="C102" s="4" t="n"/>
      <c r="D102" s="4" t="n"/>
      <c r="E102" s="4" t="n"/>
      <c r="F102" s="16" t="n"/>
      <c r="G102" s="4" t="n"/>
      <c r="H102" s="4" t="n"/>
      <c r="I102" s="4" t="n"/>
      <c r="J102" s="4" t="n"/>
    </row>
    <row r="103">
      <c r="A103" s="14">
        <f>IF(F103&lt;&gt;"",ROW()-4,"")</f>
        <v/>
      </c>
      <c r="B103" s="15" t="n"/>
      <c r="C103" s="4" t="n"/>
      <c r="D103" s="4" t="n"/>
      <c r="E103" s="4" t="n"/>
      <c r="F103" s="16" t="n"/>
      <c r="G103" s="4" t="n"/>
      <c r="H103" s="4" t="n"/>
      <c r="I103" s="4" t="n"/>
      <c r="J103" s="4" t="n"/>
    </row>
    <row r="104">
      <c r="A104" s="18">
        <f>IF(F104&lt;&gt;"",ROW()-4,"")</f>
        <v/>
      </c>
      <c r="B104" s="15" t="n"/>
      <c r="C104" s="4" t="n"/>
      <c r="D104" s="4" t="n"/>
      <c r="E104" s="4" t="n"/>
      <c r="F104" s="16" t="n"/>
      <c r="G104" s="4" t="n"/>
      <c r="H104" s="4" t="n"/>
      <c r="I104" s="4" t="n"/>
      <c r="J104" s="4" t="n"/>
    </row>
    <row r="105">
      <c r="A105" s="14">
        <f>IF(F105&lt;&gt;"",ROW()-4,"")</f>
        <v/>
      </c>
      <c r="B105" s="15" t="n"/>
      <c r="C105" s="4" t="n"/>
      <c r="D105" s="4" t="n"/>
      <c r="E105" s="4" t="n"/>
      <c r="F105" s="16" t="n"/>
      <c r="G105" s="4" t="n"/>
      <c r="H105" s="4" t="n"/>
      <c r="I105" s="4" t="n"/>
      <c r="J105" s="4" t="n"/>
    </row>
    <row r="106">
      <c r="A106" s="18">
        <f>IF(F106&lt;&gt;"",ROW()-4,"")</f>
        <v/>
      </c>
      <c r="B106" s="15" t="n"/>
      <c r="C106" s="4" t="n"/>
      <c r="D106" s="4" t="n"/>
      <c r="E106" s="4" t="n"/>
      <c r="F106" s="16" t="n"/>
      <c r="G106" s="4" t="n"/>
      <c r="H106" s="4" t="n"/>
      <c r="I106" s="4" t="n"/>
      <c r="J106" s="4" t="n"/>
    </row>
    <row r="107">
      <c r="A107" s="14">
        <f>IF(F107&lt;&gt;"",ROW()-4,"")</f>
        <v/>
      </c>
      <c r="B107" s="15" t="n"/>
      <c r="C107" s="4" t="n"/>
      <c r="D107" s="4" t="n"/>
      <c r="E107" s="4" t="n"/>
      <c r="F107" s="16" t="n"/>
      <c r="G107" s="4" t="n"/>
      <c r="H107" s="4" t="n"/>
      <c r="I107" s="4" t="n"/>
      <c r="J107" s="4" t="n"/>
    </row>
    <row r="108">
      <c r="A108" s="18">
        <f>IF(F108&lt;&gt;"",ROW()-4,"")</f>
        <v/>
      </c>
      <c r="B108" s="15" t="n"/>
      <c r="C108" s="4" t="n"/>
      <c r="D108" s="4" t="n"/>
      <c r="E108" s="4" t="n"/>
      <c r="F108" s="16" t="n"/>
      <c r="G108" s="4" t="n"/>
      <c r="H108" s="4" t="n"/>
      <c r="I108" s="4" t="n"/>
      <c r="J108" s="4" t="n"/>
    </row>
    <row r="109">
      <c r="A109" s="14">
        <f>IF(F109&lt;&gt;"",ROW()-4,"")</f>
        <v/>
      </c>
      <c r="B109" s="15" t="n"/>
      <c r="C109" s="4" t="n"/>
      <c r="D109" s="4" t="n"/>
      <c r="E109" s="4" t="n"/>
      <c r="F109" s="16" t="n"/>
      <c r="G109" s="4" t="n"/>
      <c r="H109" s="4" t="n"/>
      <c r="I109" s="4" t="n"/>
      <c r="J109" s="4" t="n"/>
    </row>
    <row r="110">
      <c r="A110" s="18">
        <f>IF(F110&lt;&gt;"",ROW()-4,"")</f>
        <v/>
      </c>
      <c r="B110" s="15" t="n"/>
      <c r="C110" s="4" t="n"/>
      <c r="D110" s="4" t="n"/>
      <c r="E110" s="4" t="n"/>
      <c r="F110" s="16" t="n"/>
      <c r="G110" s="4" t="n"/>
      <c r="H110" s="4" t="n"/>
      <c r="I110" s="4" t="n"/>
      <c r="J110" s="4" t="n"/>
    </row>
    <row r="111">
      <c r="A111" s="14">
        <f>IF(F111&lt;&gt;"",ROW()-4,"")</f>
        <v/>
      </c>
      <c r="B111" s="15" t="n"/>
      <c r="C111" s="4" t="n"/>
      <c r="D111" s="4" t="n"/>
      <c r="E111" s="4" t="n"/>
      <c r="F111" s="16" t="n"/>
      <c r="G111" s="4" t="n"/>
      <c r="H111" s="4" t="n"/>
      <c r="I111" s="4" t="n"/>
      <c r="J111" s="4" t="n"/>
    </row>
    <row r="112">
      <c r="A112" s="18">
        <f>IF(F112&lt;&gt;"",ROW()-4,"")</f>
        <v/>
      </c>
      <c r="B112" s="15" t="n"/>
      <c r="C112" s="4" t="n"/>
      <c r="D112" s="4" t="n"/>
      <c r="E112" s="4" t="n"/>
      <c r="F112" s="16" t="n"/>
      <c r="G112" s="4" t="n"/>
      <c r="H112" s="4" t="n"/>
      <c r="I112" s="4" t="n"/>
      <c r="J112" s="4" t="n"/>
    </row>
    <row r="113">
      <c r="A113" s="14">
        <f>IF(F113&lt;&gt;"",ROW()-4,"")</f>
        <v/>
      </c>
      <c r="B113" s="15" t="n"/>
      <c r="C113" s="4" t="n"/>
      <c r="D113" s="4" t="n"/>
      <c r="E113" s="4" t="n"/>
      <c r="F113" s="16" t="n"/>
      <c r="G113" s="4" t="n"/>
      <c r="H113" s="4" t="n"/>
      <c r="I113" s="4" t="n"/>
      <c r="J113" s="4" t="n"/>
    </row>
    <row r="114">
      <c r="A114" s="18">
        <f>IF(F114&lt;&gt;"",ROW()-4,"")</f>
        <v/>
      </c>
      <c r="B114" s="15" t="n"/>
      <c r="C114" s="4" t="n"/>
      <c r="D114" s="4" t="n"/>
      <c r="E114" s="4" t="n"/>
      <c r="F114" s="16" t="n"/>
      <c r="G114" s="4" t="n"/>
      <c r="H114" s="4" t="n"/>
      <c r="I114" s="4" t="n"/>
      <c r="J114" s="4" t="n"/>
    </row>
    <row r="115">
      <c r="A115" s="14">
        <f>IF(F115&lt;&gt;"",ROW()-4,"")</f>
        <v/>
      </c>
      <c r="B115" s="15" t="n"/>
      <c r="C115" s="4" t="n"/>
      <c r="D115" s="4" t="n"/>
      <c r="E115" s="4" t="n"/>
      <c r="F115" s="16" t="n"/>
      <c r="G115" s="4" t="n"/>
      <c r="H115" s="4" t="n"/>
      <c r="I115" s="4" t="n"/>
      <c r="J115" s="4" t="n"/>
    </row>
    <row r="116">
      <c r="A116" s="18">
        <f>IF(F116&lt;&gt;"",ROW()-4,"")</f>
        <v/>
      </c>
      <c r="B116" s="15" t="n"/>
      <c r="C116" s="4" t="n"/>
      <c r="D116" s="4" t="n"/>
      <c r="E116" s="4" t="n"/>
      <c r="F116" s="16" t="n"/>
      <c r="G116" s="4" t="n"/>
      <c r="H116" s="4" t="n"/>
      <c r="I116" s="4" t="n"/>
      <c r="J116" s="4" t="n"/>
    </row>
    <row r="117">
      <c r="A117" s="14">
        <f>IF(F117&lt;&gt;"",ROW()-4,"")</f>
        <v/>
      </c>
      <c r="B117" s="15" t="n"/>
      <c r="C117" s="4" t="n"/>
      <c r="D117" s="4" t="n"/>
      <c r="E117" s="4" t="n"/>
      <c r="F117" s="16" t="n"/>
      <c r="G117" s="4" t="n"/>
      <c r="H117" s="4" t="n"/>
      <c r="I117" s="4" t="n"/>
      <c r="J117" s="4" t="n"/>
    </row>
    <row r="118">
      <c r="A118" s="18">
        <f>IF(F118&lt;&gt;"",ROW()-4,"")</f>
        <v/>
      </c>
      <c r="B118" s="15" t="n"/>
      <c r="C118" s="4" t="n"/>
      <c r="D118" s="4" t="n"/>
      <c r="E118" s="4" t="n"/>
      <c r="F118" s="16" t="n"/>
      <c r="G118" s="4" t="n"/>
      <c r="H118" s="4" t="n"/>
      <c r="I118" s="4" t="n"/>
      <c r="J118" s="4" t="n"/>
    </row>
    <row r="119">
      <c r="A119" s="14">
        <f>IF(F119&lt;&gt;"",ROW()-4,"")</f>
        <v/>
      </c>
      <c r="B119" s="15" t="n"/>
      <c r="C119" s="4" t="n"/>
      <c r="D119" s="4" t="n"/>
      <c r="E119" s="4" t="n"/>
      <c r="F119" s="16" t="n"/>
      <c r="G119" s="4" t="n"/>
      <c r="H119" s="4" t="n"/>
      <c r="I119" s="4" t="n"/>
      <c r="J119" s="4" t="n"/>
    </row>
    <row r="120">
      <c r="A120" s="18">
        <f>IF(F120&lt;&gt;"",ROW()-4,"")</f>
        <v/>
      </c>
      <c r="B120" s="15" t="n"/>
      <c r="C120" s="4" t="n"/>
      <c r="D120" s="4" t="n"/>
      <c r="E120" s="4" t="n"/>
      <c r="F120" s="16" t="n"/>
      <c r="G120" s="4" t="n"/>
      <c r="H120" s="4" t="n"/>
      <c r="I120" s="4" t="n"/>
      <c r="J120" s="4" t="n"/>
    </row>
    <row r="121">
      <c r="A121" s="14">
        <f>IF(F121&lt;&gt;"",ROW()-4,"")</f>
        <v/>
      </c>
      <c r="B121" s="15" t="n"/>
      <c r="C121" s="4" t="n"/>
      <c r="D121" s="4" t="n"/>
      <c r="E121" s="4" t="n"/>
      <c r="F121" s="16" t="n"/>
      <c r="G121" s="4" t="n"/>
      <c r="H121" s="4" t="n"/>
      <c r="I121" s="4" t="n"/>
      <c r="J121" s="4" t="n"/>
    </row>
    <row r="122">
      <c r="A122" s="18">
        <f>IF(F122&lt;&gt;"",ROW()-4,"")</f>
        <v/>
      </c>
      <c r="B122" s="15" t="n"/>
      <c r="C122" s="4" t="n"/>
      <c r="D122" s="4" t="n"/>
      <c r="E122" s="4" t="n"/>
      <c r="F122" s="16" t="n"/>
      <c r="G122" s="4" t="n"/>
      <c r="H122" s="4" t="n"/>
      <c r="I122" s="4" t="n"/>
      <c r="J122" s="4" t="n"/>
    </row>
    <row r="123">
      <c r="A123" s="14">
        <f>IF(F123&lt;&gt;"",ROW()-4,"")</f>
        <v/>
      </c>
      <c r="B123" s="15" t="n"/>
      <c r="C123" s="4" t="n"/>
      <c r="D123" s="4" t="n"/>
      <c r="E123" s="4" t="n"/>
      <c r="F123" s="16" t="n"/>
      <c r="G123" s="4" t="n"/>
      <c r="H123" s="4" t="n"/>
      <c r="I123" s="4" t="n"/>
      <c r="J123" s="4" t="n"/>
    </row>
    <row r="124">
      <c r="A124" s="18">
        <f>IF(F124&lt;&gt;"",ROW()-4,"")</f>
        <v/>
      </c>
      <c r="B124" s="15" t="n"/>
      <c r="C124" s="4" t="n"/>
      <c r="D124" s="4" t="n"/>
      <c r="E124" s="4" t="n"/>
      <c r="F124" s="16" t="n"/>
      <c r="G124" s="4" t="n"/>
      <c r="H124" s="4" t="n"/>
      <c r="I124" s="4" t="n"/>
      <c r="J124" s="4" t="n"/>
    </row>
    <row r="125">
      <c r="A125" s="14">
        <f>IF(F125&lt;&gt;"",ROW()-4,"")</f>
        <v/>
      </c>
      <c r="B125" s="15" t="n"/>
      <c r="C125" s="4" t="n"/>
      <c r="D125" s="4" t="n"/>
      <c r="E125" s="4" t="n"/>
      <c r="F125" s="16" t="n"/>
      <c r="G125" s="4" t="n"/>
      <c r="H125" s="4" t="n"/>
      <c r="I125" s="4" t="n"/>
      <c r="J125" s="4" t="n"/>
    </row>
    <row r="126">
      <c r="A126" s="18">
        <f>IF(F126&lt;&gt;"",ROW()-4,"")</f>
        <v/>
      </c>
      <c r="B126" s="15" t="n"/>
      <c r="C126" s="4" t="n"/>
      <c r="D126" s="4" t="n"/>
      <c r="E126" s="4" t="n"/>
      <c r="F126" s="16" t="n"/>
      <c r="G126" s="4" t="n"/>
      <c r="H126" s="4" t="n"/>
      <c r="I126" s="4" t="n"/>
      <c r="J126" s="4" t="n"/>
    </row>
    <row r="127">
      <c r="A127" s="14">
        <f>IF(F127&lt;&gt;"",ROW()-4,"")</f>
        <v/>
      </c>
      <c r="B127" s="15" t="n"/>
      <c r="C127" s="4" t="n"/>
      <c r="D127" s="4" t="n"/>
      <c r="E127" s="4" t="n"/>
      <c r="F127" s="16" t="n"/>
      <c r="G127" s="4" t="n"/>
      <c r="H127" s="4" t="n"/>
      <c r="I127" s="4" t="n"/>
      <c r="J127" s="4" t="n"/>
    </row>
    <row r="128">
      <c r="A128" s="18">
        <f>IF(F128&lt;&gt;"",ROW()-4,"")</f>
        <v/>
      </c>
      <c r="B128" s="15" t="n"/>
      <c r="C128" s="4" t="n"/>
      <c r="D128" s="4" t="n"/>
      <c r="E128" s="4" t="n"/>
      <c r="F128" s="16" t="n"/>
      <c r="G128" s="4" t="n"/>
      <c r="H128" s="4" t="n"/>
      <c r="I128" s="4" t="n"/>
      <c r="J128" s="4" t="n"/>
    </row>
    <row r="129">
      <c r="A129" s="14">
        <f>IF(F129&lt;&gt;"",ROW()-4,"")</f>
        <v/>
      </c>
      <c r="B129" s="15" t="n"/>
      <c r="C129" s="4" t="n"/>
      <c r="D129" s="4" t="n"/>
      <c r="E129" s="4" t="n"/>
      <c r="F129" s="16" t="n"/>
      <c r="G129" s="4" t="n"/>
      <c r="H129" s="4" t="n"/>
      <c r="I129" s="4" t="n"/>
      <c r="J129" s="4" t="n"/>
    </row>
    <row r="130">
      <c r="A130" s="18">
        <f>IF(F130&lt;&gt;"",ROW()-4,"")</f>
        <v/>
      </c>
      <c r="B130" s="15" t="n"/>
      <c r="C130" s="4" t="n"/>
      <c r="D130" s="4" t="n"/>
      <c r="E130" s="4" t="n"/>
      <c r="F130" s="16" t="n"/>
      <c r="G130" s="4" t="n"/>
      <c r="H130" s="4" t="n"/>
      <c r="I130" s="4" t="n"/>
      <c r="J130" s="4" t="n"/>
    </row>
    <row r="131">
      <c r="A131" s="14">
        <f>IF(F131&lt;&gt;"",ROW()-4,"")</f>
        <v/>
      </c>
      <c r="B131" s="15" t="n"/>
      <c r="C131" s="4" t="n"/>
      <c r="D131" s="4" t="n"/>
      <c r="E131" s="4" t="n"/>
      <c r="F131" s="16" t="n"/>
      <c r="G131" s="4" t="n"/>
      <c r="H131" s="4" t="n"/>
      <c r="I131" s="4" t="n"/>
      <c r="J131" s="4" t="n"/>
    </row>
    <row r="132">
      <c r="A132" s="18">
        <f>IF(F132&lt;&gt;"",ROW()-4,"")</f>
        <v/>
      </c>
      <c r="B132" s="15" t="n"/>
      <c r="C132" s="4" t="n"/>
      <c r="D132" s="4" t="n"/>
      <c r="E132" s="4" t="n"/>
      <c r="F132" s="16" t="n"/>
      <c r="G132" s="4" t="n"/>
      <c r="H132" s="4" t="n"/>
      <c r="I132" s="4" t="n"/>
      <c r="J132" s="4" t="n"/>
    </row>
    <row r="133">
      <c r="A133" s="14">
        <f>IF(F133&lt;&gt;"",ROW()-4,"")</f>
        <v/>
      </c>
      <c r="B133" s="15" t="n"/>
      <c r="C133" s="4" t="n"/>
      <c r="D133" s="4" t="n"/>
      <c r="E133" s="4" t="n"/>
      <c r="F133" s="16" t="n"/>
      <c r="G133" s="4" t="n"/>
      <c r="H133" s="4" t="n"/>
      <c r="I133" s="4" t="n"/>
      <c r="J133" s="4" t="n"/>
    </row>
    <row r="134">
      <c r="A134" s="18">
        <f>IF(F134&lt;&gt;"",ROW()-4,"")</f>
        <v/>
      </c>
      <c r="B134" s="15" t="n"/>
      <c r="C134" s="4" t="n"/>
      <c r="D134" s="4" t="n"/>
      <c r="E134" s="4" t="n"/>
      <c r="F134" s="16" t="n"/>
      <c r="G134" s="4" t="n"/>
      <c r="H134" s="4" t="n"/>
      <c r="I134" s="4" t="n"/>
      <c r="J134" s="4" t="n"/>
    </row>
    <row r="135">
      <c r="A135" s="14">
        <f>IF(F135&lt;&gt;"",ROW()-4,"")</f>
        <v/>
      </c>
      <c r="B135" s="15" t="n"/>
      <c r="C135" s="4" t="n"/>
      <c r="D135" s="4" t="n"/>
      <c r="E135" s="4" t="n"/>
      <c r="F135" s="16" t="n"/>
      <c r="G135" s="4" t="n"/>
      <c r="H135" s="4" t="n"/>
      <c r="I135" s="4" t="n"/>
      <c r="J135" s="4" t="n"/>
    </row>
    <row r="136">
      <c r="A136" s="18">
        <f>IF(F136&lt;&gt;"",ROW()-4,"")</f>
        <v/>
      </c>
      <c r="B136" s="15" t="n"/>
      <c r="C136" s="4" t="n"/>
      <c r="D136" s="4" t="n"/>
      <c r="E136" s="4" t="n"/>
      <c r="F136" s="16" t="n"/>
      <c r="G136" s="4" t="n"/>
      <c r="H136" s="4" t="n"/>
      <c r="I136" s="4" t="n"/>
      <c r="J136" s="4" t="n"/>
    </row>
    <row r="137">
      <c r="A137" s="14">
        <f>IF(F137&lt;&gt;"",ROW()-4,"")</f>
        <v/>
      </c>
      <c r="B137" s="15" t="n"/>
      <c r="C137" s="4" t="n"/>
      <c r="D137" s="4" t="n"/>
      <c r="E137" s="4" t="n"/>
      <c r="F137" s="16" t="n"/>
      <c r="G137" s="4" t="n"/>
      <c r="H137" s="4" t="n"/>
      <c r="I137" s="4" t="n"/>
      <c r="J137" s="4" t="n"/>
    </row>
    <row r="138">
      <c r="A138" s="18">
        <f>IF(F138&lt;&gt;"",ROW()-4,"")</f>
        <v/>
      </c>
      <c r="B138" s="15" t="n"/>
      <c r="C138" s="4" t="n"/>
      <c r="D138" s="4" t="n"/>
      <c r="E138" s="4" t="n"/>
      <c r="F138" s="16" t="n"/>
      <c r="G138" s="4" t="n"/>
      <c r="H138" s="4" t="n"/>
      <c r="I138" s="4" t="n"/>
      <c r="J138" s="4" t="n"/>
    </row>
    <row r="139">
      <c r="A139" s="14">
        <f>IF(F139&lt;&gt;"",ROW()-4,"")</f>
        <v/>
      </c>
      <c r="B139" s="15" t="n"/>
      <c r="C139" s="4" t="n"/>
      <c r="D139" s="4" t="n"/>
      <c r="E139" s="4" t="n"/>
      <c r="F139" s="16" t="n"/>
      <c r="G139" s="4" t="n"/>
      <c r="H139" s="4" t="n"/>
      <c r="I139" s="4" t="n"/>
      <c r="J139" s="4" t="n"/>
    </row>
    <row r="140">
      <c r="A140" s="18">
        <f>IF(F140&lt;&gt;"",ROW()-4,"")</f>
        <v/>
      </c>
      <c r="B140" s="15" t="n"/>
      <c r="C140" s="4" t="n"/>
      <c r="D140" s="4" t="n"/>
      <c r="E140" s="4" t="n"/>
      <c r="F140" s="16" t="n"/>
      <c r="G140" s="4" t="n"/>
      <c r="H140" s="4" t="n"/>
      <c r="I140" s="4" t="n"/>
      <c r="J140" s="4" t="n"/>
    </row>
    <row r="141">
      <c r="A141" s="14">
        <f>IF(F141&lt;&gt;"",ROW()-4,"")</f>
        <v/>
      </c>
      <c r="B141" s="15" t="n"/>
      <c r="C141" s="4" t="n"/>
      <c r="D141" s="4" t="n"/>
      <c r="E141" s="4" t="n"/>
      <c r="F141" s="16" t="n"/>
      <c r="G141" s="4" t="n"/>
      <c r="H141" s="4" t="n"/>
      <c r="I141" s="4" t="n"/>
      <c r="J141" s="4" t="n"/>
    </row>
    <row r="142">
      <c r="A142" s="18">
        <f>IF(F142&lt;&gt;"",ROW()-4,"")</f>
        <v/>
      </c>
      <c r="B142" s="15" t="n"/>
      <c r="C142" s="4" t="n"/>
      <c r="D142" s="4" t="n"/>
      <c r="E142" s="4" t="n"/>
      <c r="F142" s="16" t="n"/>
      <c r="G142" s="4" t="n"/>
      <c r="H142" s="4" t="n"/>
      <c r="I142" s="4" t="n"/>
      <c r="J142" s="4" t="n"/>
    </row>
    <row r="143">
      <c r="A143" s="14">
        <f>IF(F143&lt;&gt;"",ROW()-4,"")</f>
        <v/>
      </c>
      <c r="B143" s="15" t="n"/>
      <c r="C143" s="4" t="n"/>
      <c r="D143" s="4" t="n"/>
      <c r="E143" s="4" t="n"/>
      <c r="F143" s="16" t="n"/>
      <c r="G143" s="4" t="n"/>
      <c r="H143" s="4" t="n"/>
      <c r="I143" s="4" t="n"/>
      <c r="J143" s="4" t="n"/>
    </row>
    <row r="144">
      <c r="A144" s="18">
        <f>IF(F144&lt;&gt;"",ROW()-4,"")</f>
        <v/>
      </c>
      <c r="B144" s="15" t="n"/>
      <c r="C144" s="4" t="n"/>
      <c r="D144" s="4" t="n"/>
      <c r="E144" s="4" t="n"/>
      <c r="F144" s="16" t="n"/>
      <c r="G144" s="4" t="n"/>
      <c r="H144" s="4" t="n"/>
      <c r="I144" s="4" t="n"/>
      <c r="J144" s="4" t="n"/>
    </row>
    <row r="145">
      <c r="A145" s="14">
        <f>IF(F145&lt;&gt;"",ROW()-4,"")</f>
        <v/>
      </c>
      <c r="B145" s="15" t="n"/>
      <c r="C145" s="4" t="n"/>
      <c r="D145" s="4" t="n"/>
      <c r="E145" s="4" t="n"/>
      <c r="F145" s="16" t="n"/>
      <c r="G145" s="4" t="n"/>
      <c r="H145" s="4" t="n"/>
      <c r="I145" s="4" t="n"/>
      <c r="J145" s="4" t="n"/>
    </row>
    <row r="146">
      <c r="A146" s="18">
        <f>IF(F146&lt;&gt;"",ROW()-4,"")</f>
        <v/>
      </c>
      <c r="B146" s="15" t="n"/>
      <c r="C146" s="4" t="n"/>
      <c r="D146" s="4" t="n"/>
      <c r="E146" s="4" t="n"/>
      <c r="F146" s="16" t="n"/>
      <c r="G146" s="4" t="n"/>
      <c r="H146" s="4" t="n"/>
      <c r="I146" s="4" t="n"/>
      <c r="J146" s="4" t="n"/>
    </row>
    <row r="147">
      <c r="A147" s="14">
        <f>IF(F147&lt;&gt;"",ROW()-4,"")</f>
        <v/>
      </c>
      <c r="B147" s="15" t="n"/>
      <c r="C147" s="4" t="n"/>
      <c r="D147" s="4" t="n"/>
      <c r="E147" s="4" t="n"/>
      <c r="F147" s="16" t="n"/>
      <c r="G147" s="4" t="n"/>
      <c r="H147" s="4" t="n"/>
      <c r="I147" s="4" t="n"/>
      <c r="J147" s="4" t="n"/>
    </row>
    <row r="148">
      <c r="A148" s="18">
        <f>IF(F148&lt;&gt;"",ROW()-4,"")</f>
        <v/>
      </c>
      <c r="B148" s="15" t="n"/>
      <c r="C148" s="4" t="n"/>
      <c r="D148" s="4" t="n"/>
      <c r="E148" s="4" t="n"/>
      <c r="F148" s="16" t="n"/>
      <c r="G148" s="4" t="n"/>
      <c r="H148" s="4" t="n"/>
      <c r="I148" s="4" t="n"/>
      <c r="J148" s="4" t="n"/>
    </row>
    <row r="149">
      <c r="A149" s="14">
        <f>IF(F149&lt;&gt;"",ROW()-4,"")</f>
        <v/>
      </c>
      <c r="B149" s="15" t="n"/>
      <c r="C149" s="4" t="n"/>
      <c r="D149" s="4" t="n"/>
      <c r="E149" s="4" t="n"/>
      <c r="F149" s="16" t="n"/>
      <c r="G149" s="4" t="n"/>
      <c r="H149" s="4" t="n"/>
      <c r="I149" s="4" t="n"/>
      <c r="J149" s="4" t="n"/>
    </row>
    <row r="150">
      <c r="A150" s="18">
        <f>IF(F150&lt;&gt;"",ROW()-4,"")</f>
        <v/>
      </c>
      <c r="B150" s="15" t="n"/>
      <c r="C150" s="4" t="n"/>
      <c r="D150" s="4" t="n"/>
      <c r="E150" s="4" t="n"/>
      <c r="F150" s="16" t="n"/>
      <c r="G150" s="4" t="n"/>
      <c r="H150" s="4" t="n"/>
      <c r="I150" s="4" t="n"/>
      <c r="J150" s="4" t="n"/>
    </row>
    <row r="151">
      <c r="A151" s="14">
        <f>IF(F151&lt;&gt;"",ROW()-4,"")</f>
        <v/>
      </c>
      <c r="B151" s="15" t="n"/>
      <c r="C151" s="4" t="n"/>
      <c r="D151" s="4" t="n"/>
      <c r="E151" s="4" t="n"/>
      <c r="F151" s="16" t="n"/>
      <c r="G151" s="4" t="n"/>
      <c r="H151" s="4" t="n"/>
      <c r="I151" s="4" t="n"/>
      <c r="J151" s="4" t="n"/>
    </row>
    <row r="152">
      <c r="A152" s="18">
        <f>IF(F152&lt;&gt;"",ROW()-4,"")</f>
        <v/>
      </c>
      <c r="B152" s="15" t="n"/>
      <c r="C152" s="4" t="n"/>
      <c r="D152" s="4" t="n"/>
      <c r="E152" s="4" t="n"/>
      <c r="F152" s="16" t="n"/>
      <c r="G152" s="4" t="n"/>
      <c r="H152" s="4" t="n"/>
      <c r="I152" s="4" t="n"/>
      <c r="J152" s="4" t="n"/>
    </row>
    <row r="153">
      <c r="A153" s="14">
        <f>IF(F153&lt;&gt;"",ROW()-4,"")</f>
        <v/>
      </c>
      <c r="B153" s="15" t="n"/>
      <c r="C153" s="4" t="n"/>
      <c r="D153" s="4" t="n"/>
      <c r="E153" s="4" t="n"/>
      <c r="F153" s="16" t="n"/>
      <c r="G153" s="4" t="n"/>
      <c r="H153" s="4" t="n"/>
      <c r="I153" s="4" t="n"/>
      <c r="J153" s="4" t="n"/>
    </row>
    <row r="154">
      <c r="A154" s="18">
        <f>IF(F154&lt;&gt;"",ROW()-4,"")</f>
        <v/>
      </c>
      <c r="B154" s="15" t="n"/>
      <c r="C154" s="4" t="n"/>
      <c r="D154" s="4" t="n"/>
      <c r="E154" s="4" t="n"/>
      <c r="F154" s="16" t="n"/>
      <c r="G154" s="4" t="n"/>
      <c r="H154" s="4" t="n"/>
      <c r="I154" s="4" t="n"/>
      <c r="J154" s="4" t="n"/>
    </row>
    <row r="155">
      <c r="A155" s="14">
        <f>IF(F155&lt;&gt;"",ROW()-4,"")</f>
        <v/>
      </c>
      <c r="B155" s="15" t="n"/>
      <c r="C155" s="4" t="n"/>
      <c r="D155" s="4" t="n"/>
      <c r="E155" s="4" t="n"/>
      <c r="F155" s="16" t="n"/>
      <c r="G155" s="4" t="n"/>
      <c r="H155" s="4" t="n"/>
      <c r="I155" s="4" t="n"/>
      <c r="J155" s="4" t="n"/>
    </row>
    <row r="156">
      <c r="A156" s="18">
        <f>IF(F156&lt;&gt;"",ROW()-4,"")</f>
        <v/>
      </c>
      <c r="B156" s="15" t="n"/>
      <c r="C156" s="4" t="n"/>
      <c r="D156" s="4" t="n"/>
      <c r="E156" s="4" t="n"/>
      <c r="F156" s="16" t="n"/>
      <c r="G156" s="4" t="n"/>
      <c r="H156" s="4" t="n"/>
      <c r="I156" s="4" t="n"/>
      <c r="J156" s="4" t="n"/>
    </row>
    <row r="157">
      <c r="A157" s="14">
        <f>IF(F157&lt;&gt;"",ROW()-4,"")</f>
        <v/>
      </c>
      <c r="B157" s="15" t="n"/>
      <c r="C157" s="4" t="n"/>
      <c r="D157" s="4" t="n"/>
      <c r="E157" s="4" t="n"/>
      <c r="F157" s="16" t="n"/>
      <c r="G157" s="4" t="n"/>
      <c r="H157" s="4" t="n"/>
      <c r="I157" s="4" t="n"/>
      <c r="J157" s="4" t="n"/>
    </row>
    <row r="158">
      <c r="A158" s="18">
        <f>IF(F158&lt;&gt;"",ROW()-4,"")</f>
        <v/>
      </c>
      <c r="B158" s="15" t="n"/>
      <c r="C158" s="4" t="n"/>
      <c r="D158" s="4" t="n"/>
      <c r="E158" s="4" t="n"/>
      <c r="F158" s="16" t="n"/>
      <c r="G158" s="4" t="n"/>
      <c r="H158" s="4" t="n"/>
      <c r="I158" s="4" t="n"/>
      <c r="J158" s="4" t="n"/>
    </row>
    <row r="159">
      <c r="A159" s="14">
        <f>IF(F159&lt;&gt;"",ROW()-4,"")</f>
        <v/>
      </c>
      <c r="B159" s="15" t="n"/>
      <c r="C159" s="4" t="n"/>
      <c r="D159" s="4" t="n"/>
      <c r="E159" s="4" t="n"/>
      <c r="F159" s="16" t="n"/>
      <c r="G159" s="4" t="n"/>
      <c r="H159" s="4" t="n"/>
      <c r="I159" s="4" t="n"/>
      <c r="J159" s="4" t="n"/>
    </row>
    <row r="160">
      <c r="A160" s="18">
        <f>IF(F160&lt;&gt;"",ROW()-4,"")</f>
        <v/>
      </c>
      <c r="B160" s="15" t="n"/>
      <c r="C160" s="4" t="n"/>
      <c r="D160" s="4" t="n"/>
      <c r="E160" s="4" t="n"/>
      <c r="F160" s="16" t="n"/>
      <c r="G160" s="4" t="n"/>
      <c r="H160" s="4" t="n"/>
      <c r="I160" s="4" t="n"/>
      <c r="J160" s="4" t="n"/>
    </row>
    <row r="161">
      <c r="A161" s="14">
        <f>IF(F161&lt;&gt;"",ROW()-4,"")</f>
        <v/>
      </c>
      <c r="B161" s="15" t="n"/>
      <c r="C161" s="4" t="n"/>
      <c r="D161" s="4" t="n"/>
      <c r="E161" s="4" t="n"/>
      <c r="F161" s="16" t="n"/>
      <c r="G161" s="4" t="n"/>
      <c r="H161" s="4" t="n"/>
      <c r="I161" s="4" t="n"/>
      <c r="J161" s="4" t="n"/>
    </row>
    <row r="162">
      <c r="A162" s="18">
        <f>IF(F162&lt;&gt;"",ROW()-4,"")</f>
        <v/>
      </c>
      <c r="B162" s="15" t="n"/>
      <c r="C162" s="4" t="n"/>
      <c r="D162" s="4" t="n"/>
      <c r="E162" s="4" t="n"/>
      <c r="F162" s="16" t="n"/>
      <c r="G162" s="4" t="n"/>
      <c r="H162" s="4" t="n"/>
      <c r="I162" s="4" t="n"/>
      <c r="J162" s="4" t="n"/>
    </row>
    <row r="163">
      <c r="A163" s="14">
        <f>IF(F163&lt;&gt;"",ROW()-4,"")</f>
        <v/>
      </c>
      <c r="B163" s="15" t="n"/>
      <c r="C163" s="4" t="n"/>
      <c r="D163" s="4" t="n"/>
      <c r="E163" s="4" t="n"/>
      <c r="F163" s="16" t="n"/>
      <c r="G163" s="4" t="n"/>
      <c r="H163" s="4" t="n"/>
      <c r="I163" s="4" t="n"/>
      <c r="J163" s="4" t="n"/>
    </row>
    <row r="164">
      <c r="A164" s="18">
        <f>IF(F164&lt;&gt;"",ROW()-4,"")</f>
        <v/>
      </c>
      <c r="B164" s="15" t="n"/>
      <c r="C164" s="4" t="n"/>
      <c r="D164" s="4" t="n"/>
      <c r="E164" s="4" t="n"/>
      <c r="F164" s="16" t="n"/>
      <c r="G164" s="4" t="n"/>
      <c r="H164" s="4" t="n"/>
      <c r="I164" s="4" t="n"/>
      <c r="J164" s="4" t="n"/>
    </row>
    <row r="165">
      <c r="A165" s="14">
        <f>IF(F165&lt;&gt;"",ROW()-4,"")</f>
        <v/>
      </c>
      <c r="B165" s="15" t="n"/>
      <c r="C165" s="4" t="n"/>
      <c r="D165" s="4" t="n"/>
      <c r="E165" s="4" t="n"/>
      <c r="F165" s="16" t="n"/>
      <c r="G165" s="4" t="n"/>
      <c r="H165" s="4" t="n"/>
      <c r="I165" s="4" t="n"/>
      <c r="J165" s="4" t="n"/>
    </row>
    <row r="166">
      <c r="A166" s="18">
        <f>IF(F166&lt;&gt;"",ROW()-4,"")</f>
        <v/>
      </c>
      <c r="B166" s="15" t="n"/>
      <c r="C166" s="4" t="n"/>
      <c r="D166" s="4" t="n"/>
      <c r="E166" s="4" t="n"/>
      <c r="F166" s="16" t="n"/>
      <c r="G166" s="4" t="n"/>
      <c r="H166" s="4" t="n"/>
      <c r="I166" s="4" t="n"/>
      <c r="J166" s="4" t="n"/>
    </row>
    <row r="167">
      <c r="A167" s="14">
        <f>IF(F167&lt;&gt;"",ROW()-4,"")</f>
        <v/>
      </c>
      <c r="B167" s="15" t="n"/>
      <c r="C167" s="4" t="n"/>
      <c r="D167" s="4" t="n"/>
      <c r="E167" s="4" t="n"/>
      <c r="F167" s="16" t="n"/>
      <c r="G167" s="4" t="n"/>
      <c r="H167" s="4" t="n"/>
      <c r="I167" s="4" t="n"/>
      <c r="J167" s="4" t="n"/>
    </row>
    <row r="168">
      <c r="A168" s="18">
        <f>IF(F168&lt;&gt;"",ROW()-4,"")</f>
        <v/>
      </c>
      <c r="B168" s="15" t="n"/>
      <c r="C168" s="4" t="n"/>
      <c r="D168" s="4" t="n"/>
      <c r="E168" s="4" t="n"/>
      <c r="F168" s="16" t="n"/>
      <c r="G168" s="4" t="n"/>
      <c r="H168" s="4" t="n"/>
      <c r="I168" s="4" t="n"/>
      <c r="J168" s="4" t="n"/>
    </row>
    <row r="169">
      <c r="A169" s="14">
        <f>IF(F169&lt;&gt;"",ROW()-4,"")</f>
        <v/>
      </c>
      <c r="B169" s="15" t="n"/>
      <c r="C169" s="4" t="n"/>
      <c r="D169" s="4" t="n"/>
      <c r="E169" s="4" t="n"/>
      <c r="F169" s="16" t="n"/>
      <c r="G169" s="4" t="n"/>
      <c r="H169" s="4" t="n"/>
      <c r="I169" s="4" t="n"/>
      <c r="J169" s="4" t="n"/>
    </row>
    <row r="170">
      <c r="A170" s="18">
        <f>IF(F170&lt;&gt;"",ROW()-4,"")</f>
        <v/>
      </c>
      <c r="B170" s="15" t="n"/>
      <c r="C170" s="4" t="n"/>
      <c r="D170" s="4" t="n"/>
      <c r="E170" s="4" t="n"/>
      <c r="F170" s="16" t="n"/>
      <c r="G170" s="4" t="n"/>
      <c r="H170" s="4" t="n"/>
      <c r="I170" s="4" t="n"/>
      <c r="J170" s="4" t="n"/>
    </row>
    <row r="171">
      <c r="A171" s="14">
        <f>IF(F171&lt;&gt;"",ROW()-4,"")</f>
        <v/>
      </c>
      <c r="B171" s="15" t="n"/>
      <c r="C171" s="4" t="n"/>
      <c r="D171" s="4" t="n"/>
      <c r="E171" s="4" t="n"/>
      <c r="F171" s="16" t="n"/>
      <c r="G171" s="4" t="n"/>
      <c r="H171" s="4" t="n"/>
      <c r="I171" s="4" t="n"/>
      <c r="J171" s="4" t="n"/>
    </row>
    <row r="172">
      <c r="A172" s="18">
        <f>IF(F172&lt;&gt;"",ROW()-4,"")</f>
        <v/>
      </c>
      <c r="B172" s="15" t="n"/>
      <c r="C172" s="4" t="n"/>
      <c r="D172" s="4" t="n"/>
      <c r="E172" s="4" t="n"/>
      <c r="F172" s="16" t="n"/>
      <c r="G172" s="4" t="n"/>
      <c r="H172" s="4" t="n"/>
      <c r="I172" s="4" t="n"/>
      <c r="J172" s="4" t="n"/>
    </row>
    <row r="173">
      <c r="A173" s="14">
        <f>IF(F173&lt;&gt;"",ROW()-4,"")</f>
        <v/>
      </c>
      <c r="B173" s="15" t="n"/>
      <c r="C173" s="4" t="n"/>
      <c r="D173" s="4" t="n"/>
      <c r="E173" s="4" t="n"/>
      <c r="F173" s="16" t="n"/>
      <c r="G173" s="4" t="n"/>
      <c r="H173" s="4" t="n"/>
      <c r="I173" s="4" t="n"/>
      <c r="J173" s="4" t="n"/>
    </row>
    <row r="174">
      <c r="A174" s="18">
        <f>IF(F174&lt;&gt;"",ROW()-4,"")</f>
        <v/>
      </c>
      <c r="B174" s="15" t="n"/>
      <c r="C174" s="4" t="n"/>
      <c r="D174" s="4" t="n"/>
      <c r="E174" s="4" t="n"/>
      <c r="F174" s="16" t="n"/>
      <c r="G174" s="4" t="n"/>
      <c r="H174" s="4" t="n"/>
      <c r="I174" s="4" t="n"/>
      <c r="J174" s="4" t="n"/>
    </row>
    <row r="175">
      <c r="A175" s="14">
        <f>IF(F175&lt;&gt;"",ROW()-4,"")</f>
        <v/>
      </c>
      <c r="B175" s="15" t="n"/>
      <c r="C175" s="4" t="n"/>
      <c r="D175" s="4" t="n"/>
      <c r="E175" s="4" t="n"/>
      <c r="F175" s="16" t="n"/>
      <c r="G175" s="4" t="n"/>
      <c r="H175" s="4" t="n"/>
      <c r="I175" s="4" t="n"/>
      <c r="J175" s="4" t="n"/>
    </row>
    <row r="176">
      <c r="A176" s="18">
        <f>IF(F176&lt;&gt;"",ROW()-4,"")</f>
        <v/>
      </c>
      <c r="B176" s="15" t="n"/>
      <c r="C176" s="4" t="n"/>
      <c r="D176" s="4" t="n"/>
      <c r="E176" s="4" t="n"/>
      <c r="F176" s="16" t="n"/>
      <c r="G176" s="4" t="n"/>
      <c r="H176" s="4" t="n"/>
      <c r="I176" s="4" t="n"/>
      <c r="J176" s="4" t="n"/>
    </row>
    <row r="177">
      <c r="A177" s="14">
        <f>IF(F177&lt;&gt;"",ROW()-4,"")</f>
        <v/>
      </c>
      <c r="B177" s="15" t="n"/>
      <c r="C177" s="4" t="n"/>
      <c r="D177" s="4" t="n"/>
      <c r="E177" s="4" t="n"/>
      <c r="F177" s="16" t="n"/>
      <c r="G177" s="4" t="n"/>
      <c r="H177" s="4" t="n"/>
      <c r="I177" s="4" t="n"/>
      <c r="J177" s="4" t="n"/>
    </row>
    <row r="178">
      <c r="A178" s="18">
        <f>IF(F178&lt;&gt;"",ROW()-4,"")</f>
        <v/>
      </c>
      <c r="B178" s="15" t="n"/>
      <c r="C178" s="4" t="n"/>
      <c r="D178" s="4" t="n"/>
      <c r="E178" s="4" t="n"/>
      <c r="F178" s="16" t="n"/>
      <c r="G178" s="4" t="n"/>
      <c r="H178" s="4" t="n"/>
      <c r="I178" s="4" t="n"/>
      <c r="J178" s="4" t="n"/>
    </row>
    <row r="179">
      <c r="A179" s="14">
        <f>IF(F179&lt;&gt;"",ROW()-4,"")</f>
        <v/>
      </c>
      <c r="B179" s="15" t="n"/>
      <c r="C179" s="4" t="n"/>
      <c r="D179" s="4" t="n"/>
      <c r="E179" s="4" t="n"/>
      <c r="F179" s="16" t="n"/>
      <c r="G179" s="4" t="n"/>
      <c r="H179" s="4" t="n"/>
      <c r="I179" s="4" t="n"/>
      <c r="J179" s="4" t="n"/>
    </row>
    <row r="180">
      <c r="A180" s="18">
        <f>IF(F180&lt;&gt;"",ROW()-4,"")</f>
        <v/>
      </c>
      <c r="B180" s="15" t="n"/>
      <c r="C180" s="4" t="n"/>
      <c r="D180" s="4" t="n"/>
      <c r="E180" s="4" t="n"/>
      <c r="F180" s="16" t="n"/>
      <c r="G180" s="4" t="n"/>
      <c r="H180" s="4" t="n"/>
      <c r="I180" s="4" t="n"/>
      <c r="J180" s="4" t="n"/>
    </row>
    <row r="181">
      <c r="A181" s="14">
        <f>IF(F181&lt;&gt;"",ROW()-4,"")</f>
        <v/>
      </c>
      <c r="B181" s="15" t="n"/>
      <c r="C181" s="4" t="n"/>
      <c r="D181" s="4" t="n"/>
      <c r="E181" s="4" t="n"/>
      <c r="F181" s="16" t="n"/>
      <c r="G181" s="4" t="n"/>
      <c r="H181" s="4" t="n"/>
      <c r="I181" s="4" t="n"/>
      <c r="J181" s="4" t="n"/>
    </row>
    <row r="182">
      <c r="A182" s="18">
        <f>IF(F182&lt;&gt;"",ROW()-4,"")</f>
        <v/>
      </c>
      <c r="B182" s="15" t="n"/>
      <c r="C182" s="4" t="n"/>
      <c r="D182" s="4" t="n"/>
      <c r="E182" s="4" t="n"/>
      <c r="F182" s="16" t="n"/>
      <c r="G182" s="4" t="n"/>
      <c r="H182" s="4" t="n"/>
      <c r="I182" s="4" t="n"/>
      <c r="J182" s="4" t="n"/>
    </row>
    <row r="183">
      <c r="A183" s="14">
        <f>IF(F183&lt;&gt;"",ROW()-4,"")</f>
        <v/>
      </c>
      <c r="B183" s="15" t="n"/>
      <c r="C183" s="4" t="n"/>
      <c r="D183" s="4" t="n"/>
      <c r="E183" s="4" t="n"/>
      <c r="F183" s="16" t="n"/>
      <c r="G183" s="4" t="n"/>
      <c r="H183" s="4" t="n"/>
      <c r="I183" s="4" t="n"/>
      <c r="J183" s="4" t="n"/>
    </row>
    <row r="184">
      <c r="A184" s="18">
        <f>IF(F184&lt;&gt;"",ROW()-4,"")</f>
        <v/>
      </c>
      <c r="B184" s="15" t="n"/>
      <c r="C184" s="4" t="n"/>
      <c r="D184" s="4" t="n"/>
      <c r="E184" s="4" t="n"/>
      <c r="F184" s="16" t="n"/>
      <c r="G184" s="4" t="n"/>
      <c r="H184" s="4" t="n"/>
      <c r="I184" s="4" t="n"/>
      <c r="J184" s="4" t="n"/>
    </row>
    <row r="185">
      <c r="A185" s="14">
        <f>IF(F185&lt;&gt;"",ROW()-4,"")</f>
        <v/>
      </c>
      <c r="B185" s="15" t="n"/>
      <c r="C185" s="4" t="n"/>
      <c r="D185" s="4" t="n"/>
      <c r="E185" s="4" t="n"/>
      <c r="F185" s="16" t="n"/>
      <c r="G185" s="4" t="n"/>
      <c r="H185" s="4" t="n"/>
      <c r="I185" s="4" t="n"/>
      <c r="J185" s="4" t="n"/>
    </row>
    <row r="186">
      <c r="A186" s="18">
        <f>IF(F186&lt;&gt;"",ROW()-4,"")</f>
        <v/>
      </c>
      <c r="B186" s="15" t="n"/>
      <c r="C186" s="4" t="n"/>
      <c r="D186" s="4" t="n"/>
      <c r="E186" s="4" t="n"/>
      <c r="F186" s="16" t="n"/>
      <c r="G186" s="4" t="n"/>
      <c r="H186" s="4" t="n"/>
      <c r="I186" s="4" t="n"/>
      <c r="J186" s="4" t="n"/>
    </row>
    <row r="187">
      <c r="A187" s="14">
        <f>IF(F187&lt;&gt;"",ROW()-4,"")</f>
        <v/>
      </c>
      <c r="B187" s="15" t="n"/>
      <c r="C187" s="4" t="n"/>
      <c r="D187" s="4" t="n"/>
      <c r="E187" s="4" t="n"/>
      <c r="F187" s="16" t="n"/>
      <c r="G187" s="4" t="n"/>
      <c r="H187" s="4" t="n"/>
      <c r="I187" s="4" t="n"/>
      <c r="J187" s="4" t="n"/>
    </row>
    <row r="188">
      <c r="A188" s="18">
        <f>IF(F188&lt;&gt;"",ROW()-4,"")</f>
        <v/>
      </c>
      <c r="B188" s="15" t="n"/>
      <c r="C188" s="4" t="n"/>
      <c r="D188" s="4" t="n"/>
      <c r="E188" s="4" t="n"/>
      <c r="F188" s="16" t="n"/>
      <c r="G188" s="4" t="n"/>
      <c r="H188" s="4" t="n"/>
      <c r="I188" s="4" t="n"/>
      <c r="J188" s="4" t="n"/>
    </row>
    <row r="189">
      <c r="A189" s="14">
        <f>IF(F189&lt;&gt;"",ROW()-4,"")</f>
        <v/>
      </c>
      <c r="B189" s="15" t="n"/>
      <c r="C189" s="4" t="n"/>
      <c r="D189" s="4" t="n"/>
      <c r="E189" s="4" t="n"/>
      <c r="F189" s="16" t="n"/>
      <c r="G189" s="4" t="n"/>
      <c r="H189" s="4" t="n"/>
      <c r="I189" s="4" t="n"/>
      <c r="J189" s="4" t="n"/>
    </row>
    <row r="190">
      <c r="A190" s="18">
        <f>IF(F190&lt;&gt;"",ROW()-4,"")</f>
        <v/>
      </c>
      <c r="B190" s="15" t="n"/>
      <c r="C190" s="4" t="n"/>
      <c r="D190" s="4" t="n"/>
      <c r="E190" s="4" t="n"/>
      <c r="F190" s="16" t="n"/>
      <c r="G190" s="4" t="n"/>
      <c r="H190" s="4" t="n"/>
      <c r="I190" s="4" t="n"/>
      <c r="J190" s="4" t="n"/>
    </row>
    <row r="191">
      <c r="A191" s="14">
        <f>IF(F191&lt;&gt;"",ROW()-4,"")</f>
        <v/>
      </c>
      <c r="B191" s="15" t="n"/>
      <c r="C191" s="4" t="n"/>
      <c r="D191" s="4" t="n"/>
      <c r="E191" s="4" t="n"/>
      <c r="F191" s="16" t="n"/>
      <c r="G191" s="4" t="n"/>
      <c r="H191" s="4" t="n"/>
      <c r="I191" s="4" t="n"/>
      <c r="J191" s="4" t="n"/>
    </row>
    <row r="192">
      <c r="A192" s="18">
        <f>IF(F192&lt;&gt;"",ROW()-4,"")</f>
        <v/>
      </c>
      <c r="B192" s="15" t="n"/>
      <c r="C192" s="4" t="n"/>
      <c r="D192" s="4" t="n"/>
      <c r="E192" s="4" t="n"/>
      <c r="F192" s="16" t="n"/>
      <c r="G192" s="4" t="n"/>
      <c r="H192" s="4" t="n"/>
      <c r="I192" s="4" t="n"/>
      <c r="J192" s="4" t="n"/>
    </row>
    <row r="193">
      <c r="A193" s="14">
        <f>IF(F193&lt;&gt;"",ROW()-4,"")</f>
        <v/>
      </c>
      <c r="B193" s="15" t="n"/>
      <c r="C193" s="4" t="n"/>
      <c r="D193" s="4" t="n"/>
      <c r="E193" s="4" t="n"/>
      <c r="F193" s="16" t="n"/>
      <c r="G193" s="4" t="n"/>
      <c r="H193" s="4" t="n"/>
      <c r="I193" s="4" t="n"/>
      <c r="J193" s="4" t="n"/>
    </row>
    <row r="194">
      <c r="A194" s="18">
        <f>IF(F194&lt;&gt;"",ROW()-4,"")</f>
        <v/>
      </c>
      <c r="B194" s="15" t="n"/>
      <c r="C194" s="4" t="n"/>
      <c r="D194" s="4" t="n"/>
      <c r="E194" s="4" t="n"/>
      <c r="F194" s="16" t="n"/>
      <c r="G194" s="4" t="n"/>
      <c r="H194" s="4" t="n"/>
      <c r="I194" s="4" t="n"/>
      <c r="J194" s="4" t="n"/>
    </row>
    <row r="195">
      <c r="A195" s="14">
        <f>IF(F195&lt;&gt;"",ROW()-4,"")</f>
        <v/>
      </c>
      <c r="B195" s="15" t="n"/>
      <c r="C195" s="4" t="n"/>
      <c r="D195" s="4" t="n"/>
      <c r="E195" s="4" t="n"/>
      <c r="F195" s="16" t="n"/>
      <c r="G195" s="4" t="n"/>
      <c r="H195" s="4" t="n"/>
      <c r="I195" s="4" t="n"/>
      <c r="J195" s="4" t="n"/>
    </row>
    <row r="196">
      <c r="A196" s="18">
        <f>IF(F196&lt;&gt;"",ROW()-4,"")</f>
        <v/>
      </c>
      <c r="B196" s="15" t="n"/>
      <c r="C196" s="4" t="n"/>
      <c r="D196" s="4" t="n"/>
      <c r="E196" s="4" t="n"/>
      <c r="F196" s="16" t="n"/>
      <c r="G196" s="4" t="n"/>
      <c r="H196" s="4" t="n"/>
      <c r="I196" s="4" t="n"/>
      <c r="J196" s="4" t="n"/>
    </row>
    <row r="197">
      <c r="A197" s="14">
        <f>IF(F197&lt;&gt;"",ROW()-4,"")</f>
        <v/>
      </c>
      <c r="B197" s="15" t="n"/>
      <c r="C197" s="4" t="n"/>
      <c r="D197" s="4" t="n"/>
      <c r="E197" s="4" t="n"/>
      <c r="F197" s="16" t="n"/>
      <c r="G197" s="4" t="n"/>
      <c r="H197" s="4" t="n"/>
      <c r="I197" s="4" t="n"/>
      <c r="J197" s="4" t="n"/>
    </row>
    <row r="198">
      <c r="A198" s="18">
        <f>IF(F198&lt;&gt;"",ROW()-4,"")</f>
        <v/>
      </c>
      <c r="B198" s="15" t="n"/>
      <c r="C198" s="4" t="n"/>
      <c r="D198" s="4" t="n"/>
      <c r="E198" s="4" t="n"/>
      <c r="F198" s="16" t="n"/>
      <c r="G198" s="4" t="n"/>
      <c r="H198" s="4" t="n"/>
      <c r="I198" s="4" t="n"/>
      <c r="J198" s="4" t="n"/>
    </row>
    <row r="199">
      <c r="A199" s="14">
        <f>IF(F199&lt;&gt;"",ROW()-4,"")</f>
        <v/>
      </c>
      <c r="B199" s="15" t="n"/>
      <c r="C199" s="4" t="n"/>
      <c r="D199" s="4" t="n"/>
      <c r="E199" s="4" t="n"/>
      <c r="F199" s="16" t="n"/>
      <c r="G199" s="4" t="n"/>
      <c r="H199" s="4" t="n"/>
      <c r="I199" s="4" t="n"/>
      <c r="J199" s="4" t="n"/>
    </row>
    <row r="200">
      <c r="A200" s="18">
        <f>IF(F200&lt;&gt;"",ROW()-4,"")</f>
        <v/>
      </c>
      <c r="B200" s="15" t="n"/>
      <c r="C200" s="4" t="n"/>
      <c r="D200" s="4" t="n"/>
      <c r="E200" s="4" t="n"/>
      <c r="F200" s="16" t="n"/>
      <c r="G200" s="4" t="n"/>
      <c r="H200" s="4" t="n"/>
      <c r="I200" s="4" t="n"/>
      <c r="J200" s="4" t="n"/>
    </row>
    <row r="201">
      <c r="A201" s="14">
        <f>IF(F201&lt;&gt;"",ROW()-4,"")</f>
        <v/>
      </c>
      <c r="B201" s="15" t="n"/>
      <c r="C201" s="4" t="n"/>
      <c r="D201" s="4" t="n"/>
      <c r="E201" s="4" t="n"/>
      <c r="F201" s="16" t="n"/>
      <c r="G201" s="4" t="n"/>
      <c r="H201" s="4" t="n"/>
      <c r="I201" s="4" t="n"/>
      <c r="J201" s="4" t="n"/>
    </row>
    <row r="202">
      <c r="A202" s="18">
        <f>IF(F202&lt;&gt;"",ROW()-4,"")</f>
        <v/>
      </c>
      <c r="B202" s="15" t="n"/>
      <c r="C202" s="4" t="n"/>
      <c r="D202" s="4" t="n"/>
      <c r="E202" s="4" t="n"/>
      <c r="F202" s="16" t="n"/>
      <c r="G202" s="4" t="n"/>
      <c r="H202" s="4" t="n"/>
      <c r="I202" s="4" t="n"/>
      <c r="J202" s="4" t="n"/>
    </row>
    <row r="203">
      <c r="A203" s="14">
        <f>IF(F203&lt;&gt;"",ROW()-4,"")</f>
        <v/>
      </c>
      <c r="B203" s="15" t="n"/>
      <c r="C203" s="4" t="n"/>
      <c r="D203" s="4" t="n"/>
      <c r="E203" s="4" t="n"/>
      <c r="F203" s="16" t="n"/>
      <c r="G203" s="4" t="n"/>
      <c r="H203" s="4" t="n"/>
      <c r="I203" s="4" t="n"/>
      <c r="J203" s="4" t="n"/>
    </row>
    <row r="204">
      <c r="A204" s="18">
        <f>IF(F204&lt;&gt;"",ROW()-4,"")</f>
        <v/>
      </c>
      <c r="B204" s="15" t="n"/>
      <c r="C204" s="4" t="n"/>
      <c r="D204" s="4" t="n"/>
      <c r="E204" s="4" t="n"/>
      <c r="F204" s="16" t="n"/>
      <c r="G204" s="4" t="n"/>
      <c r="H204" s="4" t="n"/>
      <c r="I204" s="4" t="n"/>
      <c r="J204" s="4" t="n"/>
    </row>
    <row r="205">
      <c r="A205" s="14">
        <f>IF(F205&lt;&gt;"",ROW()-4,"")</f>
        <v/>
      </c>
      <c r="B205" s="15" t="n"/>
      <c r="C205" s="4" t="n"/>
      <c r="D205" s="4" t="n"/>
      <c r="E205" s="4" t="n"/>
      <c r="F205" s="16" t="n"/>
      <c r="G205" s="4" t="n"/>
      <c r="H205" s="4" t="n"/>
      <c r="I205" s="4" t="n"/>
      <c r="J205" s="4" t="n"/>
    </row>
    <row r="206">
      <c r="A206" s="18">
        <f>IF(F206&lt;&gt;"",ROW()-4,"")</f>
        <v/>
      </c>
      <c r="B206" s="15" t="n"/>
      <c r="C206" s="4" t="n"/>
      <c r="D206" s="4" t="n"/>
      <c r="E206" s="4" t="n"/>
      <c r="F206" s="16" t="n"/>
      <c r="G206" s="4" t="n"/>
      <c r="H206" s="4" t="n"/>
      <c r="I206" s="4" t="n"/>
      <c r="J206" s="4" t="n"/>
    </row>
    <row r="207">
      <c r="A207" s="14">
        <f>IF(F207&lt;&gt;"",ROW()-4,"")</f>
        <v/>
      </c>
      <c r="B207" s="15" t="n"/>
      <c r="C207" s="4" t="n"/>
      <c r="D207" s="4" t="n"/>
      <c r="E207" s="4" t="n"/>
      <c r="F207" s="16" t="n"/>
      <c r="G207" s="4" t="n"/>
      <c r="H207" s="4" t="n"/>
      <c r="I207" s="4" t="n"/>
      <c r="J207" s="4" t="n"/>
    </row>
    <row r="208">
      <c r="A208" s="18">
        <f>IF(F208&lt;&gt;"",ROW()-4,"")</f>
        <v/>
      </c>
      <c r="B208" s="15" t="n"/>
      <c r="C208" s="4" t="n"/>
      <c r="D208" s="4" t="n"/>
      <c r="E208" s="4" t="n"/>
      <c r="F208" s="16" t="n"/>
      <c r="G208" s="4" t="n"/>
      <c r="H208" s="4" t="n"/>
      <c r="I208" s="4" t="n"/>
      <c r="J208" s="4" t="n"/>
    </row>
    <row r="209">
      <c r="A209" s="14">
        <f>IF(F209&lt;&gt;"",ROW()-4,"")</f>
        <v/>
      </c>
      <c r="B209" s="15" t="n"/>
      <c r="C209" s="4" t="n"/>
      <c r="D209" s="4" t="n"/>
      <c r="E209" s="4" t="n"/>
      <c r="F209" s="16" t="n"/>
      <c r="G209" s="4" t="n"/>
      <c r="H209" s="4" t="n"/>
      <c r="I209" s="4" t="n"/>
      <c r="J209" s="4" t="n"/>
    </row>
    <row r="210">
      <c r="A210" s="18">
        <f>IF(F210&lt;&gt;"",ROW()-4,"")</f>
        <v/>
      </c>
      <c r="B210" s="15" t="n"/>
      <c r="C210" s="4" t="n"/>
      <c r="D210" s="4" t="n"/>
      <c r="E210" s="4" t="n"/>
      <c r="F210" s="16" t="n"/>
      <c r="G210" s="4" t="n"/>
      <c r="H210" s="4" t="n"/>
      <c r="I210" s="4" t="n"/>
      <c r="J210" s="4" t="n"/>
    </row>
    <row r="211">
      <c r="A211" s="14">
        <f>IF(F211&lt;&gt;"",ROW()-4,"")</f>
        <v/>
      </c>
      <c r="B211" s="15" t="n"/>
      <c r="C211" s="4" t="n"/>
      <c r="D211" s="4" t="n"/>
      <c r="E211" s="4" t="n"/>
      <c r="F211" s="16" t="n"/>
      <c r="G211" s="4" t="n"/>
      <c r="H211" s="4" t="n"/>
      <c r="I211" s="4" t="n"/>
      <c r="J211" s="4" t="n"/>
    </row>
    <row r="212">
      <c r="A212" s="18">
        <f>IF(F212&lt;&gt;"",ROW()-4,"")</f>
        <v/>
      </c>
      <c r="B212" s="15" t="n"/>
      <c r="C212" s="4" t="n"/>
      <c r="D212" s="4" t="n"/>
      <c r="E212" s="4" t="n"/>
      <c r="F212" s="16" t="n"/>
      <c r="G212" s="4" t="n"/>
      <c r="H212" s="4" t="n"/>
      <c r="I212" s="4" t="n"/>
      <c r="J212" s="4" t="n"/>
    </row>
    <row r="213">
      <c r="A213" s="14">
        <f>IF(F213&lt;&gt;"",ROW()-4,"")</f>
        <v/>
      </c>
      <c r="B213" s="15" t="n"/>
      <c r="C213" s="4" t="n"/>
      <c r="D213" s="4" t="n"/>
      <c r="E213" s="4" t="n"/>
      <c r="F213" s="16" t="n"/>
      <c r="G213" s="4" t="n"/>
      <c r="H213" s="4" t="n"/>
      <c r="I213" s="4" t="n"/>
      <c r="J213" s="4" t="n"/>
    </row>
    <row r="214">
      <c r="A214" s="18">
        <f>IF(F214&lt;&gt;"",ROW()-4,"")</f>
        <v/>
      </c>
      <c r="B214" s="15" t="n"/>
      <c r="C214" s="4" t="n"/>
      <c r="D214" s="4" t="n"/>
      <c r="E214" s="4" t="n"/>
      <c r="F214" s="16" t="n"/>
      <c r="G214" s="4" t="n"/>
      <c r="H214" s="4" t="n"/>
      <c r="I214" s="4" t="n"/>
      <c r="J214" s="4" t="n"/>
    </row>
    <row r="215">
      <c r="A215" s="14">
        <f>IF(F215&lt;&gt;"",ROW()-4,"")</f>
        <v/>
      </c>
      <c r="B215" s="15" t="n"/>
      <c r="C215" s="4" t="n"/>
      <c r="D215" s="4" t="n"/>
      <c r="E215" s="4" t="n"/>
      <c r="F215" s="16" t="n"/>
      <c r="G215" s="4" t="n"/>
      <c r="H215" s="4" t="n"/>
      <c r="I215" s="4" t="n"/>
      <c r="J215" s="4" t="n"/>
    </row>
    <row r="216">
      <c r="A216" s="18">
        <f>IF(F216&lt;&gt;"",ROW()-4,"")</f>
        <v/>
      </c>
      <c r="B216" s="15" t="n"/>
      <c r="C216" s="4" t="n"/>
      <c r="D216" s="4" t="n"/>
      <c r="E216" s="4" t="n"/>
      <c r="F216" s="16" t="n"/>
      <c r="G216" s="4" t="n"/>
      <c r="H216" s="4" t="n"/>
      <c r="I216" s="4" t="n"/>
      <c r="J216" s="4" t="n"/>
    </row>
    <row r="217">
      <c r="A217" s="14">
        <f>IF(F217&lt;&gt;"",ROW()-4,"")</f>
        <v/>
      </c>
      <c r="B217" s="15" t="n"/>
      <c r="C217" s="4" t="n"/>
      <c r="D217" s="4" t="n"/>
      <c r="E217" s="4" t="n"/>
      <c r="F217" s="16" t="n"/>
      <c r="G217" s="4" t="n"/>
      <c r="H217" s="4" t="n"/>
      <c r="I217" s="4" t="n"/>
      <c r="J217" s="4" t="n"/>
    </row>
    <row r="218">
      <c r="A218" s="18">
        <f>IF(F218&lt;&gt;"",ROW()-4,"")</f>
        <v/>
      </c>
      <c r="B218" s="15" t="n"/>
      <c r="C218" s="4" t="n"/>
      <c r="D218" s="4" t="n"/>
      <c r="E218" s="4" t="n"/>
      <c r="F218" s="16" t="n"/>
      <c r="G218" s="4" t="n"/>
      <c r="H218" s="4" t="n"/>
      <c r="I218" s="4" t="n"/>
      <c r="J218" s="4" t="n"/>
    </row>
    <row r="219">
      <c r="A219" s="14">
        <f>IF(F219&lt;&gt;"",ROW()-4,"")</f>
        <v/>
      </c>
      <c r="B219" s="15" t="n"/>
      <c r="C219" s="4" t="n"/>
      <c r="D219" s="4" t="n"/>
      <c r="E219" s="4" t="n"/>
      <c r="F219" s="16" t="n"/>
      <c r="G219" s="4" t="n"/>
      <c r="H219" s="4" t="n"/>
      <c r="I219" s="4" t="n"/>
      <c r="J219" s="4" t="n"/>
    </row>
    <row r="220">
      <c r="A220" s="18">
        <f>IF(F220&lt;&gt;"",ROW()-4,"")</f>
        <v/>
      </c>
      <c r="B220" s="15" t="n"/>
      <c r="C220" s="4" t="n"/>
      <c r="D220" s="4" t="n"/>
      <c r="E220" s="4" t="n"/>
      <c r="F220" s="16" t="n"/>
      <c r="G220" s="4" t="n"/>
      <c r="H220" s="4" t="n"/>
      <c r="I220" s="4" t="n"/>
      <c r="J220" s="4" t="n"/>
    </row>
    <row r="221">
      <c r="A221" s="14">
        <f>IF(F221&lt;&gt;"",ROW()-4,"")</f>
        <v/>
      </c>
      <c r="B221" s="15" t="n"/>
      <c r="C221" s="4" t="n"/>
      <c r="D221" s="4" t="n"/>
      <c r="E221" s="4" t="n"/>
      <c r="F221" s="16" t="n"/>
      <c r="G221" s="4" t="n"/>
      <c r="H221" s="4" t="n"/>
      <c r="I221" s="4" t="n"/>
      <c r="J221" s="4" t="n"/>
    </row>
    <row r="222">
      <c r="A222" s="18">
        <f>IF(F222&lt;&gt;"",ROW()-4,"")</f>
        <v/>
      </c>
      <c r="B222" s="15" t="n"/>
      <c r="C222" s="4" t="n"/>
      <c r="D222" s="4" t="n"/>
      <c r="E222" s="4" t="n"/>
      <c r="F222" s="16" t="n"/>
      <c r="G222" s="4" t="n"/>
      <c r="H222" s="4" t="n"/>
      <c r="I222" s="4" t="n"/>
      <c r="J222" s="4" t="n"/>
    </row>
    <row r="223">
      <c r="A223" s="14">
        <f>IF(F223&lt;&gt;"",ROW()-4,"")</f>
        <v/>
      </c>
      <c r="B223" s="15" t="n"/>
      <c r="C223" s="4" t="n"/>
      <c r="D223" s="4" t="n"/>
      <c r="E223" s="4" t="n"/>
      <c r="F223" s="16" t="n"/>
      <c r="G223" s="4" t="n"/>
      <c r="H223" s="4" t="n"/>
      <c r="I223" s="4" t="n"/>
      <c r="J223" s="4" t="n"/>
    </row>
    <row r="224">
      <c r="A224" s="18">
        <f>IF(F224&lt;&gt;"",ROW()-4,"")</f>
        <v/>
      </c>
      <c r="B224" s="15" t="n"/>
      <c r="C224" s="4" t="n"/>
      <c r="D224" s="4" t="n"/>
      <c r="E224" s="4" t="n"/>
      <c r="F224" s="16" t="n"/>
      <c r="G224" s="4" t="n"/>
      <c r="H224" s="4" t="n"/>
      <c r="I224" s="4" t="n"/>
      <c r="J224" s="4" t="n"/>
    </row>
    <row r="225">
      <c r="A225" s="14">
        <f>IF(F225&lt;&gt;"",ROW()-4,"")</f>
        <v/>
      </c>
      <c r="B225" s="15" t="n"/>
      <c r="C225" s="4" t="n"/>
      <c r="D225" s="4" t="n"/>
      <c r="E225" s="4" t="n"/>
      <c r="F225" s="16" t="n"/>
      <c r="G225" s="4" t="n"/>
      <c r="H225" s="4" t="n"/>
      <c r="I225" s="4" t="n"/>
      <c r="J225" s="4" t="n"/>
    </row>
    <row r="226">
      <c r="A226" s="18">
        <f>IF(F226&lt;&gt;"",ROW()-4,"")</f>
        <v/>
      </c>
      <c r="B226" s="15" t="n"/>
      <c r="C226" s="4" t="n"/>
      <c r="D226" s="4" t="n"/>
      <c r="E226" s="4" t="n"/>
      <c r="F226" s="16" t="n"/>
      <c r="G226" s="4" t="n"/>
      <c r="H226" s="4" t="n"/>
      <c r="I226" s="4" t="n"/>
      <c r="J226" s="4" t="n"/>
    </row>
    <row r="227">
      <c r="A227" s="14">
        <f>IF(F227&lt;&gt;"",ROW()-4,"")</f>
        <v/>
      </c>
      <c r="B227" s="15" t="n"/>
      <c r="C227" s="4" t="n"/>
      <c r="D227" s="4" t="n"/>
      <c r="E227" s="4" t="n"/>
      <c r="F227" s="16" t="n"/>
      <c r="G227" s="4" t="n"/>
      <c r="H227" s="4" t="n"/>
      <c r="I227" s="4" t="n"/>
      <c r="J227" s="4" t="n"/>
    </row>
    <row r="228">
      <c r="A228" s="18">
        <f>IF(F228&lt;&gt;"",ROW()-4,"")</f>
        <v/>
      </c>
      <c r="B228" s="15" t="n"/>
      <c r="C228" s="4" t="n"/>
      <c r="D228" s="4" t="n"/>
      <c r="E228" s="4" t="n"/>
      <c r="F228" s="16" t="n"/>
      <c r="G228" s="4" t="n"/>
      <c r="H228" s="4" t="n"/>
      <c r="I228" s="4" t="n"/>
      <c r="J228" s="4" t="n"/>
    </row>
    <row r="229">
      <c r="A229" s="14">
        <f>IF(F229&lt;&gt;"",ROW()-4,"")</f>
        <v/>
      </c>
      <c r="B229" s="15" t="n"/>
      <c r="C229" s="4" t="n"/>
      <c r="D229" s="4" t="n"/>
      <c r="E229" s="4" t="n"/>
      <c r="F229" s="16" t="n"/>
      <c r="G229" s="4" t="n"/>
      <c r="H229" s="4" t="n"/>
      <c r="I229" s="4" t="n"/>
      <c r="J229" s="4" t="n"/>
    </row>
    <row r="230">
      <c r="A230" s="18">
        <f>IF(F230&lt;&gt;"",ROW()-4,"")</f>
        <v/>
      </c>
      <c r="B230" s="15" t="n"/>
      <c r="C230" s="4" t="n"/>
      <c r="D230" s="4" t="n"/>
      <c r="E230" s="4" t="n"/>
      <c r="F230" s="16" t="n"/>
      <c r="G230" s="4" t="n"/>
      <c r="H230" s="4" t="n"/>
      <c r="I230" s="4" t="n"/>
      <c r="J230" s="4" t="n"/>
    </row>
    <row r="231">
      <c r="A231" s="14">
        <f>IF(F231&lt;&gt;"",ROW()-4,"")</f>
        <v/>
      </c>
      <c r="B231" s="15" t="n"/>
      <c r="C231" s="4" t="n"/>
      <c r="D231" s="4" t="n"/>
      <c r="E231" s="4" t="n"/>
      <c r="F231" s="16" t="n"/>
      <c r="G231" s="4" t="n"/>
      <c r="H231" s="4" t="n"/>
      <c r="I231" s="4" t="n"/>
      <c r="J231" s="4" t="n"/>
    </row>
    <row r="232">
      <c r="A232" s="18">
        <f>IF(F232&lt;&gt;"",ROW()-4,"")</f>
        <v/>
      </c>
      <c r="B232" s="15" t="n"/>
      <c r="C232" s="4" t="n"/>
      <c r="D232" s="4" t="n"/>
      <c r="E232" s="4" t="n"/>
      <c r="F232" s="16" t="n"/>
      <c r="G232" s="4" t="n"/>
      <c r="H232" s="4" t="n"/>
      <c r="I232" s="4" t="n"/>
      <c r="J232" s="4" t="n"/>
    </row>
    <row r="233">
      <c r="A233" s="14">
        <f>IF(F233&lt;&gt;"",ROW()-4,"")</f>
        <v/>
      </c>
      <c r="B233" s="15" t="n"/>
      <c r="C233" s="4" t="n"/>
      <c r="D233" s="4" t="n"/>
      <c r="E233" s="4" t="n"/>
      <c r="F233" s="16" t="n"/>
      <c r="G233" s="4" t="n"/>
      <c r="H233" s="4" t="n"/>
      <c r="I233" s="4" t="n"/>
      <c r="J233" s="4" t="n"/>
    </row>
    <row r="234">
      <c r="A234" s="18">
        <f>IF(F234&lt;&gt;"",ROW()-4,"")</f>
        <v/>
      </c>
      <c r="B234" s="15" t="n"/>
      <c r="C234" s="4" t="n"/>
      <c r="D234" s="4" t="n"/>
      <c r="E234" s="4" t="n"/>
      <c r="F234" s="16" t="n"/>
      <c r="G234" s="4" t="n"/>
      <c r="H234" s="4" t="n"/>
      <c r="I234" s="4" t="n"/>
      <c r="J234" s="4" t="n"/>
    </row>
    <row r="235">
      <c r="A235" s="14">
        <f>IF(F235&lt;&gt;"",ROW()-4,"")</f>
        <v/>
      </c>
      <c r="B235" s="15" t="n"/>
      <c r="C235" s="4" t="n"/>
      <c r="D235" s="4" t="n"/>
      <c r="E235" s="4" t="n"/>
      <c r="F235" s="16" t="n"/>
      <c r="G235" s="4" t="n"/>
      <c r="H235" s="4" t="n"/>
      <c r="I235" s="4" t="n"/>
      <c r="J235" s="4" t="n"/>
    </row>
    <row r="236">
      <c r="A236" s="18">
        <f>IF(F236&lt;&gt;"",ROW()-4,"")</f>
        <v/>
      </c>
      <c r="B236" s="15" t="n"/>
      <c r="C236" s="4" t="n"/>
      <c r="D236" s="4" t="n"/>
      <c r="E236" s="4" t="n"/>
      <c r="F236" s="16" t="n"/>
      <c r="G236" s="4" t="n"/>
      <c r="H236" s="4" t="n"/>
      <c r="I236" s="4" t="n"/>
      <c r="J236" s="4" t="n"/>
    </row>
    <row r="237">
      <c r="A237" s="14">
        <f>IF(F237&lt;&gt;"",ROW()-4,"")</f>
        <v/>
      </c>
      <c r="B237" s="15" t="n"/>
      <c r="C237" s="4" t="n"/>
      <c r="D237" s="4" t="n"/>
      <c r="E237" s="4" t="n"/>
      <c r="F237" s="16" t="n"/>
      <c r="G237" s="4" t="n"/>
      <c r="H237" s="4" t="n"/>
      <c r="I237" s="4" t="n"/>
      <c r="J237" s="4" t="n"/>
    </row>
    <row r="238">
      <c r="A238" s="18">
        <f>IF(F238&lt;&gt;"",ROW()-4,"")</f>
        <v/>
      </c>
      <c r="B238" s="15" t="n"/>
      <c r="C238" s="4" t="n"/>
      <c r="D238" s="4" t="n"/>
      <c r="E238" s="4" t="n"/>
      <c r="F238" s="16" t="n"/>
      <c r="G238" s="4" t="n"/>
      <c r="H238" s="4" t="n"/>
      <c r="I238" s="4" t="n"/>
      <c r="J238" s="4" t="n"/>
    </row>
    <row r="239">
      <c r="A239" s="14">
        <f>IF(F239&lt;&gt;"",ROW()-4,"")</f>
        <v/>
      </c>
      <c r="B239" s="15" t="n"/>
      <c r="C239" s="4" t="n"/>
      <c r="D239" s="4" t="n"/>
      <c r="E239" s="4" t="n"/>
      <c r="F239" s="16" t="n"/>
      <c r="G239" s="4" t="n"/>
      <c r="H239" s="4" t="n"/>
      <c r="I239" s="4" t="n"/>
      <c r="J239" s="4" t="n"/>
    </row>
    <row r="240">
      <c r="A240" s="18">
        <f>IF(F240&lt;&gt;"",ROW()-4,"")</f>
        <v/>
      </c>
      <c r="B240" s="15" t="n"/>
      <c r="C240" s="4" t="n"/>
      <c r="D240" s="4" t="n"/>
      <c r="E240" s="4" t="n"/>
      <c r="F240" s="16" t="n"/>
      <c r="G240" s="4" t="n"/>
      <c r="H240" s="4" t="n"/>
      <c r="I240" s="4" t="n"/>
      <c r="J240" s="4" t="n"/>
    </row>
    <row r="241">
      <c r="A241" s="14">
        <f>IF(F241&lt;&gt;"",ROW()-4,"")</f>
        <v/>
      </c>
      <c r="B241" s="15" t="n"/>
      <c r="C241" s="4" t="n"/>
      <c r="D241" s="4" t="n"/>
      <c r="E241" s="4" t="n"/>
      <c r="F241" s="16" t="n"/>
      <c r="G241" s="4" t="n"/>
      <c r="H241" s="4" t="n"/>
      <c r="I241" s="4" t="n"/>
      <c r="J241" s="4" t="n"/>
    </row>
    <row r="242">
      <c r="A242" s="18">
        <f>IF(F242&lt;&gt;"",ROW()-4,"")</f>
        <v/>
      </c>
      <c r="B242" s="15" t="n"/>
      <c r="C242" s="4" t="n"/>
      <c r="D242" s="4" t="n"/>
      <c r="E242" s="4" t="n"/>
      <c r="F242" s="16" t="n"/>
      <c r="G242" s="4" t="n"/>
      <c r="H242" s="4" t="n"/>
      <c r="I242" s="4" t="n"/>
      <c r="J242" s="4" t="n"/>
    </row>
    <row r="243">
      <c r="A243" s="14">
        <f>IF(F243&lt;&gt;"",ROW()-4,"")</f>
        <v/>
      </c>
      <c r="B243" s="15" t="n"/>
      <c r="C243" s="4" t="n"/>
      <c r="D243" s="4" t="n"/>
      <c r="E243" s="4" t="n"/>
      <c r="F243" s="16" t="n"/>
      <c r="G243" s="4" t="n"/>
      <c r="H243" s="4" t="n"/>
      <c r="I243" s="4" t="n"/>
      <c r="J243" s="4" t="n"/>
    </row>
    <row r="244">
      <c r="A244" s="18">
        <f>IF(F244&lt;&gt;"",ROW()-4,"")</f>
        <v/>
      </c>
      <c r="B244" s="15" t="n"/>
      <c r="C244" s="4" t="n"/>
      <c r="D244" s="4" t="n"/>
      <c r="E244" s="4" t="n"/>
      <c r="F244" s="16" t="n"/>
      <c r="G244" s="4" t="n"/>
      <c r="H244" s="4" t="n"/>
      <c r="I244" s="4" t="n"/>
      <c r="J244" s="4" t="n"/>
    </row>
    <row r="245">
      <c r="A245" s="14">
        <f>IF(F245&lt;&gt;"",ROW()-4,"")</f>
        <v/>
      </c>
      <c r="B245" s="15" t="n"/>
      <c r="C245" s="4" t="n"/>
      <c r="D245" s="4" t="n"/>
      <c r="E245" s="4" t="n"/>
      <c r="F245" s="16" t="n"/>
      <c r="G245" s="4" t="n"/>
      <c r="H245" s="4" t="n"/>
      <c r="I245" s="4" t="n"/>
      <c r="J245" s="4" t="n"/>
    </row>
    <row r="246">
      <c r="A246" s="18">
        <f>IF(F246&lt;&gt;"",ROW()-4,"")</f>
        <v/>
      </c>
      <c r="B246" s="15" t="n"/>
      <c r="C246" s="4" t="n"/>
      <c r="D246" s="4" t="n"/>
      <c r="E246" s="4" t="n"/>
      <c r="F246" s="16" t="n"/>
      <c r="G246" s="4" t="n"/>
      <c r="H246" s="4" t="n"/>
      <c r="I246" s="4" t="n"/>
      <c r="J246" s="4" t="n"/>
    </row>
    <row r="247">
      <c r="A247" s="14">
        <f>IF(F247&lt;&gt;"",ROW()-4,"")</f>
        <v/>
      </c>
      <c r="B247" s="15" t="n"/>
      <c r="C247" s="4" t="n"/>
      <c r="D247" s="4" t="n"/>
      <c r="E247" s="4" t="n"/>
      <c r="F247" s="16" t="n"/>
      <c r="G247" s="4" t="n"/>
      <c r="H247" s="4" t="n"/>
      <c r="I247" s="4" t="n"/>
      <c r="J247" s="4" t="n"/>
    </row>
    <row r="248">
      <c r="A248" s="18">
        <f>IF(F248&lt;&gt;"",ROW()-4,"")</f>
        <v/>
      </c>
      <c r="B248" s="15" t="n"/>
      <c r="C248" s="4" t="n"/>
      <c r="D248" s="4" t="n"/>
      <c r="E248" s="4" t="n"/>
      <c r="F248" s="16" t="n"/>
      <c r="G248" s="4" t="n"/>
      <c r="H248" s="4" t="n"/>
      <c r="I248" s="4" t="n"/>
      <c r="J248" s="4" t="n"/>
    </row>
    <row r="249">
      <c r="A249" s="14">
        <f>IF(F249&lt;&gt;"",ROW()-4,"")</f>
        <v/>
      </c>
      <c r="B249" s="15" t="n"/>
      <c r="C249" s="4" t="n"/>
      <c r="D249" s="4" t="n"/>
      <c r="E249" s="4" t="n"/>
      <c r="F249" s="16" t="n"/>
      <c r="G249" s="4" t="n"/>
      <c r="H249" s="4" t="n"/>
      <c r="I249" s="4" t="n"/>
      <c r="J249" s="4" t="n"/>
    </row>
    <row r="250">
      <c r="A250" s="18">
        <f>IF(F250&lt;&gt;"",ROW()-4,"")</f>
        <v/>
      </c>
      <c r="B250" s="15" t="n"/>
      <c r="C250" s="4" t="n"/>
      <c r="D250" s="4" t="n"/>
      <c r="E250" s="4" t="n"/>
      <c r="F250" s="16" t="n"/>
      <c r="G250" s="4" t="n"/>
      <c r="H250" s="4" t="n"/>
      <c r="I250" s="4" t="n"/>
      <c r="J250" s="4" t="n"/>
    </row>
    <row r="251">
      <c r="A251" s="14">
        <f>IF(F251&lt;&gt;"",ROW()-4,"")</f>
        <v/>
      </c>
      <c r="B251" s="15" t="n"/>
      <c r="C251" s="4" t="n"/>
      <c r="D251" s="4" t="n"/>
      <c r="E251" s="4" t="n"/>
      <c r="F251" s="16" t="n"/>
      <c r="G251" s="4" t="n"/>
      <c r="H251" s="4" t="n"/>
      <c r="I251" s="4" t="n"/>
      <c r="J251" s="4" t="n"/>
    </row>
    <row r="252">
      <c r="A252" s="18">
        <f>IF(F252&lt;&gt;"",ROW()-4,"")</f>
        <v/>
      </c>
      <c r="B252" s="15" t="n"/>
      <c r="C252" s="4" t="n"/>
      <c r="D252" s="4" t="n"/>
      <c r="E252" s="4" t="n"/>
      <c r="F252" s="16" t="n"/>
      <c r="G252" s="4" t="n"/>
      <c r="H252" s="4" t="n"/>
      <c r="I252" s="4" t="n"/>
      <c r="J252" s="4" t="n"/>
    </row>
    <row r="253">
      <c r="A253" s="14">
        <f>IF(F253&lt;&gt;"",ROW()-4,"")</f>
        <v/>
      </c>
      <c r="B253" s="15" t="n"/>
      <c r="C253" s="4" t="n"/>
      <c r="D253" s="4" t="n"/>
      <c r="E253" s="4" t="n"/>
      <c r="F253" s="16" t="n"/>
      <c r="G253" s="4" t="n"/>
      <c r="H253" s="4" t="n"/>
      <c r="I253" s="4" t="n"/>
      <c r="J253" s="4" t="n"/>
    </row>
    <row r="254">
      <c r="A254" s="18">
        <f>IF(F254&lt;&gt;"",ROW()-4,"")</f>
        <v/>
      </c>
      <c r="B254" s="15" t="n"/>
      <c r="C254" s="4" t="n"/>
      <c r="D254" s="4" t="n"/>
      <c r="E254" s="4" t="n"/>
      <c r="F254" s="16" t="n"/>
      <c r="G254" s="4" t="n"/>
      <c r="H254" s="4" t="n"/>
      <c r="I254" s="4" t="n"/>
      <c r="J254" s="4" t="n"/>
    </row>
    <row r="255">
      <c r="A255" s="14">
        <f>IF(F255&lt;&gt;"",ROW()-4,"")</f>
        <v/>
      </c>
      <c r="B255" s="15" t="n"/>
      <c r="C255" s="4" t="n"/>
      <c r="D255" s="4" t="n"/>
      <c r="E255" s="4" t="n"/>
      <c r="F255" s="16" t="n"/>
      <c r="G255" s="4" t="n"/>
      <c r="H255" s="4" t="n"/>
      <c r="I255" s="4" t="n"/>
      <c r="J255" s="4" t="n"/>
    </row>
    <row r="256" ht="24" customHeight="1">
      <c r="A256" s="19" t="inlineStr">
        <is>
          <t>TOTAL EXPENSES THIS MONTH</t>
        </is>
      </c>
      <c r="F256" s="11">
        <f>SUM(F5:F255)</f>
        <v/>
      </c>
      <c r="G256" s="12" t="n"/>
      <c r="H256" s="12" t="n"/>
      <c r="I256" s="12" t="n"/>
      <c r="J256" s="12" t="n"/>
    </row>
  </sheetData>
  <mergeCells count="3">
    <mergeCell ref="A1:J1"/>
    <mergeCell ref="A2:J2"/>
    <mergeCell ref="A256:E256"/>
  </mergeCells>
  <conditionalFormatting sqref="A5:J255">
    <cfRule type="expression" priority="1" dxfId="0">
      <formula>$D5="Fixed Bills"</formula>
    </cfRule>
    <cfRule type="expression" priority="2" dxfId="1">
      <formula>$D5="Food &amp; Dining"</formula>
    </cfRule>
    <cfRule type="expression" priority="3" dxfId="2">
      <formula>$D5="Transport &amp; Fuel"</formula>
    </cfRule>
    <cfRule type="expression" priority="4" dxfId="3">
      <formula>$D5="Shopping &amp; Clothing"</formula>
    </cfRule>
    <cfRule type="expression" priority="5" dxfId="4">
      <formula>$D5="Entertainment &amp; OTT"</formula>
    </cfRule>
    <cfRule type="expression" priority="6" dxfId="5">
      <formula>$D5="Groceries"</formula>
    </cfRule>
    <cfRule type="expression" priority="7" dxfId="6">
      <formula>$D5="Investment"</formula>
    </cfRule>
    <cfRule type="expression" priority="8" dxfId="7">
      <formula>$D5="Added to Savings"</formula>
    </cfRule>
    <cfRule type="expression" priority="9" dxfId="8">
      <formula>$D5="Credit Card Payment"</formula>
    </cfRule>
    <cfRule type="expression" priority="10" dxfId="9">
      <formula>$D5="Miscellaneous"</formula>
    </cfRule>
  </conditionalFormatting>
  <dataValidations count="5">
    <dataValidation sqref="D5:D255" showErrorMessage="1" showInputMessage="1" allowBlank="1" errorTitle="Invalid Category" error="Pick a category from the list" type="list">
      <formula1>_Lists!$A$1:$A$10</formula1>
    </dataValidation>
    <dataValidation sqref="E5:E255" showErrorMessage="1" showDropDown="0" showInputMessage="1" allowBlank="1" type="list">
      <formula1>_Lists!$O$1:$O$41</formula1>
    </dataValidation>
    <dataValidation sqref="G5:G255" showErrorMessage="1" showInputMessage="1" allowBlank="1" type="list">
      <formula1>_Lists!$Q$1:$Q$8</formula1>
    </dataValidation>
    <dataValidation sqref="H5:H255" showErrorMessage="1" showInputMessage="1" allowBlank="1" type="list">
      <formula1>Setup!$D$5:$D$9</formula1>
    </dataValidation>
    <dataValidation sqref="I5:I255" showErrorMessage="1" showInputMessage="1" allowBlank="1" type="list">
      <formula1>_Lists!$R$1:$R$10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22" customWidth="1" min="4" max="4"/>
    <col width="22" customWidth="1" min="5" max="5"/>
    <col width="14" customWidth="1" min="6" max="6"/>
    <col width="20" customWidth="1" min="7" max="7"/>
    <col width="20" customWidth="1" min="8" max="8"/>
    <col width="22" customWidth="1" min="9" max="9"/>
    <col width="22" customWidth="1" min="10" max="10"/>
    <col width="2" customWidth="1" min="11" max="11"/>
    <col width="26" customWidth="1" min="12" max="12"/>
    <col width="16" customWidth="1" min="13" max="13"/>
  </cols>
  <sheetData>
    <row r="1" ht="36" customHeight="1">
      <c r="A1" s="1" t="inlineStr">
        <is>
          <t>📝  JUNE — EXPENSE LOG</t>
        </is>
      </c>
    </row>
    <row r="2" ht="32" customHeight="1">
      <c r="A2" s="13" t="inlineStr">
        <is>
          <t>ℹ️  Date is DateTime. Category dropdown → Sub-category changes automatically. 'Added to Savings' → pick your saving account in Sub-category. CC spend → pick card in 'CC Name'. CC payment → increases card limit.</t>
        </is>
      </c>
    </row>
    <row r="4" ht="28" customHeight="1">
      <c r="A4" s="3" t="inlineStr">
        <is>
          <t>#</t>
        </is>
      </c>
      <c r="B4" s="3" t="inlineStr">
        <is>
          <t>Date &amp; Time</t>
        </is>
      </c>
      <c r="C4" s="3" t="inlineStr">
        <is>
          <t>Description</t>
        </is>
      </c>
      <c r="D4" s="3" t="inlineStr">
        <is>
          <t>Category</t>
        </is>
      </c>
      <c r="E4" s="3" t="inlineStr">
        <is>
          <t>Sub-category</t>
        </is>
      </c>
      <c r="F4" s="3" t="inlineStr">
        <is>
          <t>Amount (₹)</t>
        </is>
      </c>
      <c r="G4" s="3" t="inlineStr">
        <is>
          <t>Paid From</t>
        </is>
      </c>
      <c r="H4" s="3" t="inlineStr">
        <is>
          <t>CC Name</t>
        </is>
      </c>
      <c r="I4" s="3" t="inlineStr">
        <is>
          <t>Account</t>
        </is>
      </c>
      <c r="J4" s="3" t="inlineStr">
        <is>
          <t>Notes</t>
        </is>
      </c>
      <c r="L4" s="3" t="inlineStr">
        <is>
          <t>📊  June Summary</t>
        </is>
      </c>
      <c r="M4" s="3" t="inlineStr">
        <is>
          <t>Amount (₹)</t>
        </is>
      </c>
    </row>
    <row r="5" ht="22" customHeight="1">
      <c r="A5" s="14">
        <f>IF(F5&lt;&gt;"",ROW()-4,"")</f>
        <v/>
      </c>
      <c r="B5" s="15" t="n"/>
      <c r="C5" s="4" t="n"/>
      <c r="D5" s="4" t="n"/>
      <c r="E5" s="4" t="n"/>
      <c r="F5" s="16" t="n"/>
      <c r="G5" s="4" t="n"/>
      <c r="H5" s="4" t="n"/>
      <c r="I5" s="4" t="n"/>
      <c r="J5" s="4" t="n"/>
      <c r="L5" s="17" t="inlineStr">
        <is>
          <t>Total Expenses</t>
        </is>
      </c>
      <c r="M5" s="9">
        <f>F256</f>
        <v/>
      </c>
    </row>
    <row r="6" ht="22" customHeight="1">
      <c r="A6" s="18">
        <f>IF(F6&lt;&gt;"",ROW()-4,"")</f>
        <v/>
      </c>
      <c r="B6" s="15" t="n"/>
      <c r="C6" s="4" t="n"/>
      <c r="D6" s="4" t="n"/>
      <c r="E6" s="4" t="n"/>
      <c r="F6" s="16" t="n"/>
      <c r="G6" s="4" t="n"/>
      <c r="H6" s="4" t="n"/>
      <c r="I6" s="4" t="n"/>
      <c r="J6" s="4" t="n"/>
      <c r="L6" s="17" t="inlineStr">
        <is>
          <t>Income This Month</t>
        </is>
      </c>
      <c r="M6" s="9">
        <f>Income!E6</f>
        <v/>
      </c>
    </row>
    <row r="7" ht="22" customHeight="1">
      <c r="A7" s="14">
        <f>IF(F7&lt;&gt;"",ROW()-4,"")</f>
        <v/>
      </c>
      <c r="B7" s="15" t="n"/>
      <c r="C7" s="4" t="n"/>
      <c r="D7" s="4" t="n"/>
      <c r="E7" s="4" t="n"/>
      <c r="F7" s="16" t="n"/>
      <c r="G7" s="4" t="n"/>
      <c r="H7" s="4" t="n"/>
      <c r="I7" s="4" t="n"/>
      <c r="J7" s="4" t="n"/>
      <c r="L7" s="17" t="inlineStr">
        <is>
          <t>Net This Month</t>
        </is>
      </c>
      <c r="M7" s="9">
        <f>M6-M5</f>
        <v/>
      </c>
    </row>
    <row r="8" ht="22" customHeight="1">
      <c r="A8" s="18">
        <f>IF(F8&lt;&gt;"",ROW()-4,"")</f>
        <v/>
      </c>
      <c r="B8" s="15" t="n"/>
      <c r="C8" s="4" t="n"/>
      <c r="D8" s="4" t="n"/>
      <c r="E8" s="4" t="n"/>
      <c r="F8" s="16" t="n"/>
      <c r="G8" s="4" t="n"/>
      <c r="H8" s="4" t="n"/>
      <c r="I8" s="4" t="n"/>
      <c r="J8" s="4" t="n"/>
      <c r="L8" s="17" t="inlineStr">
        <is>
          <t>Savings 1 (this month)</t>
        </is>
      </c>
      <c r="M8" s="9">
        <f>IF(Setup!A13&lt;&gt;"",SUMIFS(F5:F255,D5:D255,"Added to Savings",I5:I255,Setup!A13)-SUMIFS(F5:F255,G5:G255,Setup!A13),"")</f>
        <v/>
      </c>
    </row>
    <row r="9" ht="22" customHeight="1">
      <c r="A9" s="14">
        <f>IF(F9&lt;&gt;"",ROW()-4,"")</f>
        <v/>
      </c>
      <c r="B9" s="15" t="n"/>
      <c r="C9" s="4" t="n"/>
      <c r="D9" s="4" t="n"/>
      <c r="E9" s="4" t="n"/>
      <c r="F9" s="16" t="n"/>
      <c r="G9" s="4" t="n"/>
      <c r="H9" s="4" t="n"/>
      <c r="I9" s="4" t="n"/>
      <c r="J9" s="4" t="n"/>
      <c r="L9" s="17" t="inlineStr">
        <is>
          <t>Savings 1 (balance)</t>
        </is>
      </c>
      <c r="M9" s="9">
        <f>IF(Setup!A13&lt;&gt;"",Setup!B13+(SUMIFS('April'!F5:F64,'April'!D5:D64,"Added to Savings",'April'!I5:I64,Setup!A13)+SUMIFS('May'!F5:F64,'May'!D5:D64,"Added to Savings",'May'!I5:I64,Setup!A13)+SUMIFS('June'!F5:F64,'June'!D5:D64,"Added to Savings",'June'!I5:I64,Setup!A13))-(SUMIFS('April'!F5:F64,'April'!G5:G64,Setup!A13)+SUMIFS('May'!F5:F64,'May'!G5:G64,Setup!A13)+SUMIFS('June'!F5:F64,'June'!G5:G64,Setup!A13)),"")</f>
        <v/>
      </c>
    </row>
    <row r="10" ht="22" customHeight="1">
      <c r="A10" s="18">
        <f>IF(F10&lt;&gt;"",ROW()-4,"")</f>
        <v/>
      </c>
      <c r="B10" s="15" t="n"/>
      <c r="C10" s="4" t="n"/>
      <c r="D10" s="4" t="n"/>
      <c r="E10" s="4" t="n"/>
      <c r="F10" s="16" t="n"/>
      <c r="G10" s="4" t="n"/>
      <c r="H10" s="4" t="n"/>
      <c r="I10" s="4" t="n"/>
      <c r="J10" s="4" t="n"/>
      <c r="L10" s="17" t="inlineStr">
        <is>
          <t>Savings 2 (this month)</t>
        </is>
      </c>
      <c r="M10" s="9">
        <f>IF(Setup!A14&lt;&gt;"",SUMIFS(F5:F255,D5:D255,"Added to Savings",I5:I255,Setup!A14)-SUMIFS(F5:F255,G5:G255,Setup!A14),"")</f>
        <v/>
      </c>
    </row>
    <row r="11" ht="22" customHeight="1">
      <c r="A11" s="14">
        <f>IF(F11&lt;&gt;"",ROW()-4,"")</f>
        <v/>
      </c>
      <c r="B11" s="15" t="n"/>
      <c r="C11" s="4" t="n"/>
      <c r="D11" s="4" t="n"/>
      <c r="E11" s="4" t="n"/>
      <c r="F11" s="16" t="n"/>
      <c r="G11" s="4" t="n"/>
      <c r="H11" s="4" t="n"/>
      <c r="I11" s="4" t="n"/>
      <c r="J11" s="4" t="n"/>
      <c r="L11" s="17" t="inlineStr">
        <is>
          <t>Savings 2 (balance)</t>
        </is>
      </c>
      <c r="M11" s="9">
        <f>IF(Setup!A14&lt;&gt;"",Setup!B14+(SUMIFS('April'!F5:F64,'April'!D5:D64,"Added to Savings",'April'!I5:I64,Setup!A14)+SUMIFS('May'!F5:F64,'May'!D5:D64,"Added to Savings",'May'!I5:I64,Setup!A14)+SUMIFS('June'!F5:F64,'June'!D5:D64,"Added to Savings",'June'!I5:I64,Setup!A14))-(SUMIFS('April'!F5:F64,'April'!G5:G64,Setup!A14)+SUMIFS('May'!F5:F64,'May'!G5:G64,Setup!A14)+SUMIFS('June'!F5:F64,'June'!G5:G64,Setup!A14)),"")</f>
        <v/>
      </c>
    </row>
    <row r="12" ht="22" customHeight="1">
      <c r="A12" s="18">
        <f>IF(F12&lt;&gt;"",ROW()-4,"")</f>
        <v/>
      </c>
      <c r="B12" s="15" t="n"/>
      <c r="C12" s="4" t="n"/>
      <c r="D12" s="4" t="n"/>
      <c r="E12" s="4" t="n"/>
      <c r="F12" s="16" t="n"/>
      <c r="G12" s="4" t="n"/>
      <c r="H12" s="4" t="n"/>
      <c r="I12" s="4" t="n"/>
      <c r="J12" s="4" t="n"/>
      <c r="L12" s="17" t="inlineStr">
        <is>
          <t>Savings 3 (this month)</t>
        </is>
      </c>
      <c r="M12" s="9">
        <f>IF(Setup!A15&lt;&gt;"",SUMIFS(F5:F255,D5:D255,"Added to Savings",I5:I255,Setup!A15)-SUMIFS(F5:F255,G5:G255,Setup!A15),"")</f>
        <v/>
      </c>
    </row>
    <row r="13" ht="22" customHeight="1">
      <c r="A13" s="14">
        <f>IF(F13&lt;&gt;"",ROW()-4,"")</f>
        <v/>
      </c>
      <c r="B13" s="15" t="n"/>
      <c r="C13" s="4" t="n"/>
      <c r="D13" s="4" t="n"/>
      <c r="E13" s="4" t="n"/>
      <c r="F13" s="16" t="n"/>
      <c r="G13" s="4" t="n"/>
      <c r="H13" s="4" t="n"/>
      <c r="I13" s="4" t="n"/>
      <c r="J13" s="4" t="n"/>
      <c r="L13" s="17" t="inlineStr">
        <is>
          <t>Savings 3 (balance)</t>
        </is>
      </c>
      <c r="M13" s="9">
        <f>IF(Setup!A15&lt;&gt;"",Setup!B15+(SUMIFS('April'!F5:F64,'April'!D5:D64,"Added to Savings",'April'!I5:I64,Setup!A15)+SUMIFS('May'!F5:F64,'May'!D5:D64,"Added to Savings",'May'!I5:I64,Setup!A15)+SUMIFS('June'!F5:F64,'June'!D5:D64,"Added to Savings",'June'!I5:I64,Setup!A15))-(SUMIFS('April'!F5:F64,'April'!G5:G64,Setup!A15)+SUMIFS('May'!F5:F64,'May'!G5:G64,Setup!A15)+SUMIFS('June'!F5:F64,'June'!G5:G64,Setup!A15)),"")</f>
        <v/>
      </c>
    </row>
    <row r="14" ht="22" customHeight="1">
      <c r="A14" s="18">
        <f>IF(F14&lt;&gt;"",ROW()-4,"")</f>
        <v/>
      </c>
      <c r="B14" s="15" t="n"/>
      <c r="C14" s="4" t="n"/>
      <c r="D14" s="4" t="n"/>
      <c r="E14" s="4" t="n"/>
      <c r="F14" s="16" t="n"/>
      <c r="G14" s="4" t="n"/>
      <c r="H14" s="4" t="n"/>
      <c r="I14" s="4" t="n"/>
      <c r="J14" s="4" t="n"/>
      <c r="L14" s="17" t="inlineStr">
        <is>
          <t>Savings 4 (this month)</t>
        </is>
      </c>
      <c r="M14" s="9">
        <f>IF(Setup!A16&lt;&gt;"",SUMIFS(F5:F255,D5:D255,"Added to Savings",I5:I255,Setup!A16)-SUMIFS(F5:F255,G5:G255,Setup!A16),"")</f>
        <v/>
      </c>
    </row>
    <row r="15" ht="22" customHeight="1">
      <c r="A15" s="14">
        <f>IF(F15&lt;&gt;"",ROW()-4,"")</f>
        <v/>
      </c>
      <c r="B15" s="15" t="n"/>
      <c r="C15" s="4" t="n"/>
      <c r="D15" s="4" t="n"/>
      <c r="E15" s="4" t="n"/>
      <c r="F15" s="16" t="n"/>
      <c r="G15" s="4" t="n"/>
      <c r="H15" s="4" t="n"/>
      <c r="I15" s="4" t="n"/>
      <c r="J15" s="4" t="n"/>
      <c r="L15" s="17" t="inlineStr">
        <is>
          <t>Savings 4 (balance)</t>
        </is>
      </c>
      <c r="M15" s="9">
        <f>IF(Setup!A16&lt;&gt;"",Setup!B16+(SUMIFS('April'!F5:F64,'April'!D5:D64,"Added to Savings",'April'!I5:I64,Setup!A16)+SUMIFS('May'!F5:F64,'May'!D5:D64,"Added to Savings",'May'!I5:I64,Setup!A16)+SUMIFS('June'!F5:F64,'June'!D5:D64,"Added to Savings",'June'!I5:I64,Setup!A16))-(SUMIFS('April'!F5:F64,'April'!G5:G64,Setup!A16)+SUMIFS('May'!F5:F64,'May'!G5:G64,Setup!A16)+SUMIFS('June'!F5:F64,'June'!G5:G64,Setup!A16)),"")</f>
        <v/>
      </c>
    </row>
    <row r="16" ht="22" customHeight="1">
      <c r="A16" s="18">
        <f>IF(F16&lt;&gt;"",ROW()-4,"")</f>
        <v/>
      </c>
      <c r="B16" s="15" t="n"/>
      <c r="C16" s="4" t="n"/>
      <c r="D16" s="4" t="n"/>
      <c r="E16" s="4" t="n"/>
      <c r="F16" s="16" t="n"/>
      <c r="G16" s="4" t="n"/>
      <c r="H16" s="4" t="n"/>
      <c r="I16" s="4" t="n"/>
      <c r="J16" s="4" t="n"/>
      <c r="L16" s="17" t="inlineStr">
        <is>
          <t>Savings 5 (this month)</t>
        </is>
      </c>
      <c r="M16" s="9">
        <f>IF(Setup!A17&lt;&gt;"",SUMIFS(F5:F255,D5:D255,"Added to Savings",I5:I255,Setup!A17)-SUMIFS(F5:F255,G5:G255,Setup!A17),"")</f>
        <v/>
      </c>
    </row>
    <row r="17" ht="22" customHeight="1">
      <c r="A17" s="14">
        <f>IF(F17&lt;&gt;"",ROW()-4,"")</f>
        <v/>
      </c>
      <c r="B17" s="15" t="n"/>
      <c r="C17" s="4" t="n"/>
      <c r="D17" s="4" t="n"/>
      <c r="E17" s="4" t="n"/>
      <c r="F17" s="16" t="n"/>
      <c r="G17" s="4" t="n"/>
      <c r="H17" s="4" t="n"/>
      <c r="I17" s="4" t="n"/>
      <c r="J17" s="4" t="n"/>
      <c r="L17" s="17" t="inlineStr">
        <is>
          <t>Savings 5 (balance)</t>
        </is>
      </c>
      <c r="M17" s="9">
        <f>IF(Setup!A17&lt;&gt;"",Setup!B17+(SUMIFS('April'!F5:F64,'April'!D5:D64,"Added to Savings",'April'!I5:I64,Setup!A17)+SUMIFS('May'!F5:F64,'May'!D5:D64,"Added to Savings",'May'!I5:I64,Setup!A17)+SUMIFS('June'!F5:F64,'June'!D5:D64,"Added to Savings",'June'!I5:I64,Setup!A17))-(SUMIFS('April'!F5:F64,'April'!G5:G64,Setup!A17)+SUMIFS('May'!F5:F64,'May'!G5:G64,Setup!A17)+SUMIFS('June'!F5:F64,'June'!G5:G64,Setup!A17)),"")</f>
        <v/>
      </c>
    </row>
    <row r="18" ht="22" customHeight="1">
      <c r="A18" s="18">
        <f>IF(F18&lt;&gt;"",ROW()-4,"")</f>
        <v/>
      </c>
      <c r="B18" s="15" t="n"/>
      <c r="C18" s="4" t="n"/>
      <c r="D18" s="4" t="n"/>
      <c r="E18" s="4" t="n"/>
      <c r="F18" s="16" t="n"/>
      <c r="G18" s="4" t="n"/>
      <c r="H18" s="4" t="n"/>
      <c r="I18" s="4" t="n"/>
      <c r="J18" s="4" t="n"/>
      <c r="L18" s="17" t="inlineStr">
        <is>
          <t>Fixed Bills Paid</t>
        </is>
      </c>
      <c r="M18" s="9">
        <f>SUMIF(D5:D255,"Fixed Bills",F5:F255)</f>
        <v/>
      </c>
    </row>
    <row r="19" ht="22" customHeight="1">
      <c r="A19" s="14">
        <f>IF(F19&lt;&gt;"",ROW()-4,"")</f>
        <v/>
      </c>
      <c r="B19" s="15" t="n"/>
      <c r="C19" s="4" t="n"/>
      <c r="D19" s="4" t="n"/>
      <c r="E19" s="4" t="n"/>
      <c r="F19" s="16" t="n"/>
      <c r="G19" s="4" t="n"/>
      <c r="H19" s="4" t="n"/>
      <c r="I19" s="4" t="n"/>
      <c r="J19" s="4" t="n"/>
      <c r="L19" s="17" t="inlineStr">
        <is>
          <t>Food &amp; Dining</t>
        </is>
      </c>
      <c r="M19" s="9">
        <f>SUMIF(D5:D255,"Food &amp; Dining",F5:F255)</f>
        <v/>
      </c>
    </row>
    <row r="20" ht="22" customHeight="1">
      <c r="A20" s="18">
        <f>IF(F20&lt;&gt;"",ROW()-4,"")</f>
        <v/>
      </c>
      <c r="B20" s="15" t="n"/>
      <c r="C20" s="4" t="n"/>
      <c r="D20" s="4" t="n"/>
      <c r="E20" s="4" t="n"/>
      <c r="F20" s="16" t="n"/>
      <c r="G20" s="4" t="n"/>
      <c r="H20" s="4" t="n"/>
      <c r="I20" s="4" t="n"/>
      <c r="J20" s="4" t="n"/>
      <c r="L20" s="17" t="inlineStr">
        <is>
          <t>Transport</t>
        </is>
      </c>
      <c r="M20" s="9">
        <f>SUMIF(D5:D255,"Transport &amp; Fuel",F5:F255)</f>
        <v/>
      </c>
    </row>
    <row r="21" ht="22" customHeight="1">
      <c r="A21" s="14">
        <f>IF(F21&lt;&gt;"",ROW()-4,"")</f>
        <v/>
      </c>
      <c r="B21" s="15" t="n"/>
      <c r="C21" s="4" t="n"/>
      <c r="D21" s="4" t="n"/>
      <c r="E21" s="4" t="n"/>
      <c r="F21" s="16" t="n"/>
      <c r="G21" s="4" t="n"/>
      <c r="H21" s="4" t="n"/>
      <c r="I21" s="4" t="n"/>
      <c r="J21" s="4" t="n"/>
      <c r="L21" s="17" t="inlineStr">
        <is>
          <t>Groceries</t>
        </is>
      </c>
      <c r="M21" s="9">
        <f>SUMIF(D5:D255,"Groceries",F5:F255)</f>
        <v/>
      </c>
    </row>
    <row r="22" ht="22" customHeight="1">
      <c r="A22" s="18">
        <f>IF(F22&lt;&gt;"",ROW()-4,"")</f>
        <v/>
      </c>
      <c r="B22" s="15" t="n"/>
      <c r="C22" s="4" t="n"/>
      <c r="D22" s="4" t="n"/>
      <c r="E22" s="4" t="n"/>
      <c r="F22" s="16" t="n"/>
      <c r="G22" s="4" t="n"/>
      <c r="H22" s="4" t="n"/>
      <c r="I22" s="4" t="n"/>
      <c r="J22" s="4" t="n"/>
      <c r="L22" s="17" t="inlineStr">
        <is>
          <t>Shopping</t>
        </is>
      </c>
      <c r="M22" s="9">
        <f>SUMIF(D5:D255,"Shopping &amp; Clothing",F5:F255)</f>
        <v/>
      </c>
    </row>
    <row r="23" ht="22" customHeight="1">
      <c r="A23" s="14">
        <f>IF(F23&lt;&gt;"",ROW()-4,"")</f>
        <v/>
      </c>
      <c r="B23" s="15" t="n"/>
      <c r="C23" s="4" t="n"/>
      <c r="D23" s="4" t="n"/>
      <c r="E23" s="4" t="n"/>
      <c r="F23" s="16" t="n"/>
      <c r="G23" s="4" t="n"/>
      <c r="H23" s="4" t="n"/>
      <c r="I23" s="4" t="n"/>
      <c r="J23" s="4" t="n"/>
      <c r="L23" s="17" t="inlineStr">
        <is>
          <t>Entertainment</t>
        </is>
      </c>
      <c r="M23" s="9">
        <f>SUMIF(D5:D255,"Entertainment &amp; OTT",F5:F255)</f>
        <v/>
      </c>
    </row>
    <row r="24" ht="22" customHeight="1">
      <c r="A24" s="18">
        <f>IF(F24&lt;&gt;"",ROW()-4,"")</f>
        <v/>
      </c>
      <c r="B24" s="15" t="n"/>
      <c r="C24" s="4" t="n"/>
      <c r="D24" s="4" t="n"/>
      <c r="E24" s="4" t="n"/>
      <c r="F24" s="16" t="n"/>
      <c r="G24" s="4" t="n"/>
      <c r="H24" s="4" t="n"/>
      <c r="I24" s="4" t="n"/>
      <c r="J24" s="4" t="n"/>
      <c r="L24" s="17" t="inlineStr">
        <is>
          <t>Investment</t>
        </is>
      </c>
      <c r="M24" s="9">
        <f>SUMIF(D5:D255,"Investment",F5:F255)</f>
        <v/>
      </c>
    </row>
    <row r="25" ht="22" customHeight="1">
      <c r="A25" s="14">
        <f>IF(F25&lt;&gt;"",ROW()-4,"")</f>
        <v/>
      </c>
      <c r="B25" s="15" t="n"/>
      <c r="C25" s="4" t="n"/>
      <c r="D25" s="4" t="n"/>
      <c r="E25" s="4" t="n"/>
      <c r="F25" s="16" t="n"/>
      <c r="G25" s="4" t="n"/>
      <c r="H25" s="4" t="n"/>
      <c r="I25" s="4" t="n"/>
      <c r="J25" s="4" t="n"/>
      <c r="L25" s="17" t="inlineStr">
        <is>
          <t>Added to Savings</t>
        </is>
      </c>
      <c r="M25" s="9">
        <f>SUMIF(D5:D255,"Added to Savings",F5:F255)</f>
        <v/>
      </c>
    </row>
    <row r="26" ht="22" customHeight="1">
      <c r="A26" s="18">
        <f>IF(F26&lt;&gt;"",ROW()-4,"")</f>
        <v/>
      </c>
      <c r="B26" s="15" t="n"/>
      <c r="C26" s="4" t="n"/>
      <c r="D26" s="4" t="n"/>
      <c r="E26" s="4" t="n"/>
      <c r="F26" s="16" t="n"/>
      <c r="G26" s="4" t="n"/>
      <c r="H26" s="4" t="n"/>
      <c r="I26" s="4" t="n"/>
      <c r="J26" s="4" t="n"/>
      <c r="L26" s="17" t="inlineStr">
        <is>
          <t>CC Payments</t>
        </is>
      </c>
      <c r="M26" s="9">
        <f>SUMIF(D5:D255,"Credit Card Payment",F5:F255)</f>
        <v/>
      </c>
    </row>
    <row r="27" ht="22" customHeight="1">
      <c r="A27" s="14">
        <f>IF(F27&lt;&gt;"",ROW()-4,"")</f>
        <v/>
      </c>
      <c r="B27" s="15" t="n"/>
      <c r="C27" s="4" t="n"/>
      <c r="D27" s="4" t="n"/>
      <c r="E27" s="4" t="n"/>
      <c r="F27" s="16" t="n"/>
      <c r="G27" s="4" t="n"/>
      <c r="H27" s="4" t="n"/>
      <c r="I27" s="4" t="n"/>
      <c r="J27" s="4" t="n"/>
      <c r="L27" s="17" t="inlineStr">
        <is>
          <t>Miscellaneous</t>
        </is>
      </c>
      <c r="M27" s="9">
        <f>SUMIF(D5:D255,"Miscellaneous",F5:F255)</f>
        <v/>
      </c>
    </row>
    <row r="28">
      <c r="A28" s="18">
        <f>IF(F28&lt;&gt;"",ROW()-4,"")</f>
        <v/>
      </c>
      <c r="B28" s="15" t="n"/>
      <c r="C28" s="4" t="n"/>
      <c r="D28" s="4" t="n"/>
      <c r="E28" s="4" t="n"/>
      <c r="F28" s="16" t="n"/>
      <c r="G28" s="4" t="n"/>
      <c r="H28" s="4" t="n"/>
      <c r="I28" s="4" t="n"/>
      <c r="J28" s="4" t="n"/>
    </row>
    <row r="29">
      <c r="A29" s="14">
        <f>IF(F29&lt;&gt;"",ROW()-4,"")</f>
        <v/>
      </c>
      <c r="B29" s="15" t="n"/>
      <c r="C29" s="4" t="n"/>
      <c r="D29" s="4" t="n"/>
      <c r="E29" s="4" t="n"/>
      <c r="F29" s="16" t="n"/>
      <c r="G29" s="4" t="n"/>
      <c r="H29" s="4" t="n"/>
      <c r="I29" s="4" t="n"/>
      <c r="J29" s="4" t="n"/>
    </row>
    <row r="30">
      <c r="A30" s="18">
        <f>IF(F30&lt;&gt;"",ROW()-4,"")</f>
        <v/>
      </c>
      <c r="B30" s="15" t="n"/>
      <c r="C30" s="4" t="n"/>
      <c r="D30" s="4" t="n"/>
      <c r="E30" s="4" t="n"/>
      <c r="F30" s="16" t="n"/>
      <c r="G30" s="4" t="n"/>
      <c r="H30" s="4" t="n"/>
      <c r="I30" s="4" t="n"/>
      <c r="J30" s="4" t="n"/>
    </row>
    <row r="31">
      <c r="A31" s="14">
        <f>IF(F31&lt;&gt;"",ROW()-4,"")</f>
        <v/>
      </c>
      <c r="B31" s="15" t="n"/>
      <c r="C31" s="4" t="n"/>
      <c r="D31" s="4" t="n"/>
      <c r="E31" s="4" t="n"/>
      <c r="F31" s="16" t="n"/>
      <c r="G31" s="4" t="n"/>
      <c r="H31" s="4" t="n"/>
      <c r="I31" s="4" t="n"/>
      <c r="J31" s="4" t="n"/>
    </row>
    <row r="32">
      <c r="A32" s="18">
        <f>IF(F32&lt;&gt;"",ROW()-4,"")</f>
        <v/>
      </c>
      <c r="B32" s="15" t="n"/>
      <c r="C32" s="4" t="n"/>
      <c r="D32" s="4" t="n"/>
      <c r="E32" s="4" t="n"/>
      <c r="F32" s="16" t="n"/>
      <c r="G32" s="4" t="n"/>
      <c r="H32" s="4" t="n"/>
      <c r="I32" s="4" t="n"/>
      <c r="J32" s="4" t="n"/>
    </row>
    <row r="33">
      <c r="A33" s="14">
        <f>IF(F33&lt;&gt;"",ROW()-4,"")</f>
        <v/>
      </c>
      <c r="B33" s="15" t="n"/>
      <c r="C33" s="4" t="n"/>
      <c r="D33" s="4" t="n"/>
      <c r="E33" s="4" t="n"/>
      <c r="F33" s="16" t="n"/>
      <c r="G33" s="4" t="n"/>
      <c r="H33" s="4" t="n"/>
      <c r="I33" s="4" t="n"/>
      <c r="J33" s="4" t="n"/>
    </row>
    <row r="34">
      <c r="A34" s="18">
        <f>IF(F34&lt;&gt;"",ROW()-4,"")</f>
        <v/>
      </c>
      <c r="B34" s="15" t="n"/>
      <c r="C34" s="4" t="n"/>
      <c r="D34" s="4" t="n"/>
      <c r="E34" s="4" t="n"/>
      <c r="F34" s="16" t="n"/>
      <c r="G34" s="4" t="n"/>
      <c r="H34" s="4" t="n"/>
      <c r="I34" s="4" t="n"/>
      <c r="J34" s="4" t="n"/>
    </row>
    <row r="35">
      <c r="A35" s="14">
        <f>IF(F35&lt;&gt;"",ROW()-4,"")</f>
        <v/>
      </c>
      <c r="B35" s="15" t="n"/>
      <c r="C35" s="4" t="n"/>
      <c r="D35" s="4" t="n"/>
      <c r="E35" s="4" t="n"/>
      <c r="F35" s="16" t="n"/>
      <c r="G35" s="4" t="n"/>
      <c r="H35" s="4" t="n"/>
      <c r="I35" s="4" t="n"/>
      <c r="J35" s="4" t="n"/>
    </row>
    <row r="36">
      <c r="A36" s="18">
        <f>IF(F36&lt;&gt;"",ROW()-4,"")</f>
        <v/>
      </c>
      <c r="B36" s="15" t="n"/>
      <c r="C36" s="4" t="n"/>
      <c r="D36" s="4" t="n"/>
      <c r="E36" s="4" t="n"/>
      <c r="F36" s="16" t="n"/>
      <c r="G36" s="4" t="n"/>
      <c r="H36" s="4" t="n"/>
      <c r="I36" s="4" t="n"/>
      <c r="J36" s="4" t="n"/>
    </row>
    <row r="37">
      <c r="A37" s="14">
        <f>IF(F37&lt;&gt;"",ROW()-4,"")</f>
        <v/>
      </c>
      <c r="B37" s="15" t="n"/>
      <c r="C37" s="4" t="n"/>
      <c r="D37" s="4" t="n"/>
      <c r="E37" s="4" t="n"/>
      <c r="F37" s="16" t="n"/>
      <c r="G37" s="4" t="n"/>
      <c r="H37" s="4" t="n"/>
      <c r="I37" s="4" t="n"/>
      <c r="J37" s="4" t="n"/>
    </row>
    <row r="38">
      <c r="A38" s="18">
        <f>IF(F38&lt;&gt;"",ROW()-4,"")</f>
        <v/>
      </c>
      <c r="B38" s="15" t="n"/>
      <c r="C38" s="4" t="n"/>
      <c r="D38" s="4" t="n"/>
      <c r="E38" s="4" t="n"/>
      <c r="F38" s="16" t="n"/>
      <c r="G38" s="4" t="n"/>
      <c r="H38" s="4" t="n"/>
      <c r="I38" s="4" t="n"/>
      <c r="J38" s="4" t="n"/>
    </row>
    <row r="39">
      <c r="A39" s="14">
        <f>IF(F39&lt;&gt;"",ROW()-4,"")</f>
        <v/>
      </c>
      <c r="B39" s="15" t="n"/>
      <c r="C39" s="4" t="n"/>
      <c r="D39" s="4" t="n"/>
      <c r="E39" s="4" t="n"/>
      <c r="F39" s="16" t="n"/>
      <c r="G39" s="4" t="n"/>
      <c r="H39" s="4" t="n"/>
      <c r="I39" s="4" t="n"/>
      <c r="J39" s="4" t="n"/>
    </row>
    <row r="40">
      <c r="A40" s="18">
        <f>IF(F40&lt;&gt;"",ROW()-4,"")</f>
        <v/>
      </c>
      <c r="B40" s="15" t="n"/>
      <c r="C40" s="4" t="n"/>
      <c r="D40" s="4" t="n"/>
      <c r="E40" s="4" t="n"/>
      <c r="F40" s="16" t="n"/>
      <c r="G40" s="4" t="n"/>
      <c r="H40" s="4" t="n"/>
      <c r="I40" s="4" t="n"/>
      <c r="J40" s="4" t="n"/>
    </row>
    <row r="41">
      <c r="A41" s="14">
        <f>IF(F41&lt;&gt;"",ROW()-4,"")</f>
        <v/>
      </c>
      <c r="B41" s="15" t="n"/>
      <c r="C41" s="4" t="n"/>
      <c r="D41" s="4" t="n"/>
      <c r="E41" s="4" t="n"/>
      <c r="F41" s="16" t="n"/>
      <c r="G41" s="4" t="n"/>
      <c r="H41" s="4" t="n"/>
      <c r="I41" s="4" t="n"/>
      <c r="J41" s="4" t="n"/>
    </row>
    <row r="42">
      <c r="A42" s="18">
        <f>IF(F42&lt;&gt;"",ROW()-4,"")</f>
        <v/>
      </c>
      <c r="B42" s="15" t="n"/>
      <c r="C42" s="4" t="n"/>
      <c r="D42" s="4" t="n"/>
      <c r="E42" s="4" t="n"/>
      <c r="F42" s="16" t="n"/>
      <c r="G42" s="4" t="n"/>
      <c r="H42" s="4" t="n"/>
      <c r="I42" s="4" t="n"/>
      <c r="J42" s="4" t="n"/>
    </row>
    <row r="43">
      <c r="A43" s="14">
        <f>IF(F43&lt;&gt;"",ROW()-4,"")</f>
        <v/>
      </c>
      <c r="B43" s="15" t="n"/>
      <c r="C43" s="4" t="n"/>
      <c r="D43" s="4" t="n"/>
      <c r="E43" s="4" t="n"/>
      <c r="F43" s="16" t="n"/>
      <c r="G43" s="4" t="n"/>
      <c r="H43" s="4" t="n"/>
      <c r="I43" s="4" t="n"/>
      <c r="J43" s="4" t="n"/>
    </row>
    <row r="44">
      <c r="A44" s="18">
        <f>IF(F44&lt;&gt;"",ROW()-4,"")</f>
        <v/>
      </c>
      <c r="B44" s="15" t="n"/>
      <c r="C44" s="4" t="n"/>
      <c r="D44" s="4" t="n"/>
      <c r="E44" s="4" t="n"/>
      <c r="F44" s="16" t="n"/>
      <c r="G44" s="4" t="n"/>
      <c r="H44" s="4" t="n"/>
      <c r="I44" s="4" t="n"/>
      <c r="J44" s="4" t="n"/>
    </row>
    <row r="45">
      <c r="A45" s="14">
        <f>IF(F45&lt;&gt;"",ROW()-4,"")</f>
        <v/>
      </c>
      <c r="B45" s="15" t="n"/>
      <c r="C45" s="4" t="n"/>
      <c r="D45" s="4" t="n"/>
      <c r="E45" s="4" t="n"/>
      <c r="F45" s="16" t="n"/>
      <c r="G45" s="4" t="n"/>
      <c r="H45" s="4" t="n"/>
      <c r="I45" s="4" t="n"/>
      <c r="J45" s="4" t="n"/>
    </row>
    <row r="46">
      <c r="A46" s="18">
        <f>IF(F46&lt;&gt;"",ROW()-4,"")</f>
        <v/>
      </c>
      <c r="B46" s="15" t="n"/>
      <c r="C46" s="4" t="n"/>
      <c r="D46" s="4" t="n"/>
      <c r="E46" s="4" t="n"/>
      <c r="F46" s="16" t="n"/>
      <c r="G46" s="4" t="n"/>
      <c r="H46" s="4" t="n"/>
      <c r="I46" s="4" t="n"/>
      <c r="J46" s="4" t="n"/>
    </row>
    <row r="47">
      <c r="A47" s="14">
        <f>IF(F47&lt;&gt;"",ROW()-4,"")</f>
        <v/>
      </c>
      <c r="B47" s="15" t="n"/>
      <c r="C47" s="4" t="n"/>
      <c r="D47" s="4" t="n"/>
      <c r="E47" s="4" t="n"/>
      <c r="F47" s="16" t="n"/>
      <c r="G47" s="4" t="n"/>
      <c r="H47" s="4" t="n"/>
      <c r="I47" s="4" t="n"/>
      <c r="J47" s="4" t="n"/>
    </row>
    <row r="48">
      <c r="A48" s="18">
        <f>IF(F48&lt;&gt;"",ROW()-4,"")</f>
        <v/>
      </c>
      <c r="B48" s="15" t="n"/>
      <c r="C48" s="4" t="n"/>
      <c r="D48" s="4" t="n"/>
      <c r="E48" s="4" t="n"/>
      <c r="F48" s="16" t="n"/>
      <c r="G48" s="4" t="n"/>
      <c r="H48" s="4" t="n"/>
      <c r="I48" s="4" t="n"/>
      <c r="J48" s="4" t="n"/>
    </row>
    <row r="49">
      <c r="A49" s="14">
        <f>IF(F49&lt;&gt;"",ROW()-4,"")</f>
        <v/>
      </c>
      <c r="B49" s="15" t="n"/>
      <c r="C49" s="4" t="n"/>
      <c r="D49" s="4" t="n"/>
      <c r="E49" s="4" t="n"/>
      <c r="F49" s="16" t="n"/>
      <c r="G49" s="4" t="n"/>
      <c r="H49" s="4" t="n"/>
      <c r="I49" s="4" t="n"/>
      <c r="J49" s="4" t="n"/>
    </row>
    <row r="50">
      <c r="A50" s="18">
        <f>IF(F50&lt;&gt;"",ROW()-4,"")</f>
        <v/>
      </c>
      <c r="B50" s="15" t="n"/>
      <c r="C50" s="4" t="n"/>
      <c r="D50" s="4" t="n"/>
      <c r="E50" s="4" t="n"/>
      <c r="F50" s="16" t="n"/>
      <c r="G50" s="4" t="n"/>
      <c r="H50" s="4" t="n"/>
      <c r="I50" s="4" t="n"/>
      <c r="J50" s="4" t="n"/>
    </row>
    <row r="51">
      <c r="A51" s="14">
        <f>IF(F51&lt;&gt;"",ROW()-4,"")</f>
        <v/>
      </c>
      <c r="B51" s="15" t="n"/>
      <c r="C51" s="4" t="n"/>
      <c r="D51" s="4" t="n"/>
      <c r="E51" s="4" t="n"/>
      <c r="F51" s="16" t="n"/>
      <c r="G51" s="4" t="n"/>
      <c r="H51" s="4" t="n"/>
      <c r="I51" s="4" t="n"/>
      <c r="J51" s="4" t="n"/>
    </row>
    <row r="52">
      <c r="A52" s="18">
        <f>IF(F52&lt;&gt;"",ROW()-4,"")</f>
        <v/>
      </c>
      <c r="B52" s="15" t="n"/>
      <c r="C52" s="4" t="n"/>
      <c r="D52" s="4" t="n"/>
      <c r="E52" s="4" t="n"/>
      <c r="F52" s="16" t="n"/>
      <c r="G52" s="4" t="n"/>
      <c r="H52" s="4" t="n"/>
      <c r="I52" s="4" t="n"/>
      <c r="J52" s="4" t="n"/>
    </row>
    <row r="53">
      <c r="A53" s="14">
        <f>IF(F53&lt;&gt;"",ROW()-4,"")</f>
        <v/>
      </c>
      <c r="B53" s="15" t="n"/>
      <c r="C53" s="4" t="n"/>
      <c r="D53" s="4" t="n"/>
      <c r="E53" s="4" t="n"/>
      <c r="F53" s="16" t="n"/>
      <c r="G53" s="4" t="n"/>
      <c r="H53" s="4" t="n"/>
      <c r="I53" s="4" t="n"/>
      <c r="J53" s="4" t="n"/>
    </row>
    <row r="54">
      <c r="A54" s="18">
        <f>IF(F54&lt;&gt;"",ROW()-4,"")</f>
        <v/>
      </c>
      <c r="B54" s="15" t="n"/>
      <c r="C54" s="4" t="n"/>
      <c r="D54" s="4" t="n"/>
      <c r="E54" s="4" t="n"/>
      <c r="F54" s="16" t="n"/>
      <c r="G54" s="4" t="n"/>
      <c r="H54" s="4" t="n"/>
      <c r="I54" s="4" t="n"/>
      <c r="J54" s="4" t="n"/>
    </row>
    <row r="55">
      <c r="A55" s="14">
        <f>IF(F55&lt;&gt;"",ROW()-4,"")</f>
        <v/>
      </c>
      <c r="B55" s="15" t="n"/>
      <c r="C55" s="4" t="n"/>
      <c r="D55" s="4" t="n"/>
      <c r="E55" s="4" t="n"/>
      <c r="F55" s="16" t="n"/>
      <c r="G55" s="4" t="n"/>
      <c r="H55" s="4" t="n"/>
      <c r="I55" s="4" t="n"/>
      <c r="J55" s="4" t="n"/>
    </row>
    <row r="56">
      <c r="A56" s="18">
        <f>IF(F56&lt;&gt;"",ROW()-4,"")</f>
        <v/>
      </c>
      <c r="B56" s="15" t="n"/>
      <c r="C56" s="4" t="n"/>
      <c r="D56" s="4" t="n"/>
      <c r="E56" s="4" t="n"/>
      <c r="F56" s="16" t="n"/>
      <c r="G56" s="4" t="n"/>
      <c r="H56" s="4" t="n"/>
      <c r="I56" s="4" t="n"/>
      <c r="J56" s="4" t="n"/>
    </row>
    <row r="57">
      <c r="A57" s="14">
        <f>IF(F57&lt;&gt;"",ROW()-4,"")</f>
        <v/>
      </c>
      <c r="B57" s="15" t="n"/>
      <c r="C57" s="4" t="n"/>
      <c r="D57" s="4" t="n"/>
      <c r="E57" s="4" t="n"/>
      <c r="F57" s="16" t="n"/>
      <c r="G57" s="4" t="n"/>
      <c r="H57" s="4" t="n"/>
      <c r="I57" s="4" t="n"/>
      <c r="J57" s="4" t="n"/>
    </row>
    <row r="58">
      <c r="A58" s="18">
        <f>IF(F58&lt;&gt;"",ROW()-4,"")</f>
        <v/>
      </c>
      <c r="B58" s="15" t="n"/>
      <c r="C58" s="4" t="n"/>
      <c r="D58" s="4" t="n"/>
      <c r="E58" s="4" t="n"/>
      <c r="F58" s="16" t="n"/>
      <c r="G58" s="4" t="n"/>
      <c r="H58" s="4" t="n"/>
      <c r="I58" s="4" t="n"/>
      <c r="J58" s="4" t="n"/>
    </row>
    <row r="59">
      <c r="A59" s="14">
        <f>IF(F59&lt;&gt;"",ROW()-4,"")</f>
        <v/>
      </c>
      <c r="B59" s="15" t="n"/>
      <c r="C59" s="4" t="n"/>
      <c r="D59" s="4" t="n"/>
      <c r="E59" s="4" t="n"/>
      <c r="F59" s="16" t="n"/>
      <c r="G59" s="4" t="n"/>
      <c r="H59" s="4" t="n"/>
      <c r="I59" s="4" t="n"/>
      <c r="J59" s="4" t="n"/>
    </row>
    <row r="60">
      <c r="A60" s="18">
        <f>IF(F60&lt;&gt;"",ROW()-4,"")</f>
        <v/>
      </c>
      <c r="B60" s="15" t="n"/>
      <c r="C60" s="4" t="n"/>
      <c r="D60" s="4" t="n"/>
      <c r="E60" s="4" t="n"/>
      <c r="F60" s="16" t="n"/>
      <c r="G60" s="4" t="n"/>
      <c r="H60" s="4" t="n"/>
      <c r="I60" s="4" t="n"/>
      <c r="J60" s="4" t="n"/>
    </row>
    <row r="61">
      <c r="A61" s="14">
        <f>IF(F61&lt;&gt;"",ROW()-4,"")</f>
        <v/>
      </c>
      <c r="B61" s="15" t="n"/>
      <c r="C61" s="4" t="n"/>
      <c r="D61" s="4" t="n"/>
      <c r="E61" s="4" t="n"/>
      <c r="F61" s="16" t="n"/>
      <c r="G61" s="4" t="n"/>
      <c r="H61" s="4" t="n"/>
      <c r="I61" s="4" t="n"/>
      <c r="J61" s="4" t="n"/>
    </row>
    <row r="62">
      <c r="A62" s="18">
        <f>IF(F62&lt;&gt;"",ROW()-4,"")</f>
        <v/>
      </c>
      <c r="B62" s="15" t="n"/>
      <c r="C62" s="4" t="n"/>
      <c r="D62" s="4" t="n"/>
      <c r="E62" s="4" t="n"/>
      <c r="F62" s="16" t="n"/>
      <c r="G62" s="4" t="n"/>
      <c r="H62" s="4" t="n"/>
      <c r="I62" s="4" t="n"/>
      <c r="J62" s="4" t="n"/>
    </row>
    <row r="63">
      <c r="A63" s="14">
        <f>IF(F63&lt;&gt;"",ROW()-4,"")</f>
        <v/>
      </c>
      <c r="B63" s="15" t="n"/>
      <c r="C63" s="4" t="n"/>
      <c r="D63" s="4" t="n"/>
      <c r="E63" s="4" t="n"/>
      <c r="F63" s="16" t="n"/>
      <c r="G63" s="4" t="n"/>
      <c r="H63" s="4" t="n"/>
      <c r="I63" s="4" t="n"/>
      <c r="J63" s="4" t="n"/>
    </row>
    <row r="64">
      <c r="A64" s="18">
        <f>IF(F64&lt;&gt;"",ROW()-4,"")</f>
        <v/>
      </c>
      <c r="B64" s="15" t="n"/>
      <c r="C64" s="4" t="n"/>
      <c r="D64" s="4" t="n"/>
      <c r="E64" s="4" t="n"/>
      <c r="F64" s="16" t="n"/>
      <c r="G64" s="4" t="n"/>
      <c r="H64" s="4" t="n"/>
      <c r="I64" s="4" t="n"/>
      <c r="J64" s="4" t="n"/>
    </row>
    <row r="65">
      <c r="A65" s="14">
        <f>IF(F65&lt;&gt;"",ROW()-4,"")</f>
        <v/>
      </c>
      <c r="B65" s="15" t="n"/>
      <c r="C65" s="4" t="n"/>
      <c r="D65" s="4" t="n"/>
      <c r="E65" s="4" t="n"/>
      <c r="F65" s="16" t="n"/>
      <c r="G65" s="4" t="n"/>
      <c r="H65" s="4" t="n"/>
      <c r="I65" s="4" t="n"/>
      <c r="J65" s="4" t="n"/>
    </row>
    <row r="66">
      <c r="A66" s="18">
        <f>IF(F66&lt;&gt;"",ROW()-4,"")</f>
        <v/>
      </c>
      <c r="B66" s="15" t="n"/>
      <c r="C66" s="4" t="n"/>
      <c r="D66" s="4" t="n"/>
      <c r="E66" s="4" t="n"/>
      <c r="F66" s="16" t="n"/>
      <c r="G66" s="4" t="n"/>
      <c r="H66" s="4" t="n"/>
      <c r="I66" s="4" t="n"/>
      <c r="J66" s="4" t="n"/>
    </row>
    <row r="67">
      <c r="A67" s="14">
        <f>IF(F67&lt;&gt;"",ROW()-4,"")</f>
        <v/>
      </c>
      <c r="B67" s="15" t="n"/>
      <c r="C67" s="4" t="n"/>
      <c r="D67" s="4" t="n"/>
      <c r="E67" s="4" t="n"/>
      <c r="F67" s="16" t="n"/>
      <c r="G67" s="4" t="n"/>
      <c r="H67" s="4" t="n"/>
      <c r="I67" s="4" t="n"/>
      <c r="J67" s="4" t="n"/>
    </row>
    <row r="68">
      <c r="A68" s="18">
        <f>IF(F68&lt;&gt;"",ROW()-4,"")</f>
        <v/>
      </c>
      <c r="B68" s="15" t="n"/>
      <c r="C68" s="4" t="n"/>
      <c r="D68" s="4" t="n"/>
      <c r="E68" s="4" t="n"/>
      <c r="F68" s="16" t="n"/>
      <c r="G68" s="4" t="n"/>
      <c r="H68" s="4" t="n"/>
      <c r="I68" s="4" t="n"/>
      <c r="J68" s="4" t="n"/>
    </row>
    <row r="69">
      <c r="A69" s="14">
        <f>IF(F69&lt;&gt;"",ROW()-4,"")</f>
        <v/>
      </c>
      <c r="B69" s="15" t="n"/>
      <c r="C69" s="4" t="n"/>
      <c r="D69" s="4" t="n"/>
      <c r="E69" s="4" t="n"/>
      <c r="F69" s="16" t="n"/>
      <c r="G69" s="4" t="n"/>
      <c r="H69" s="4" t="n"/>
      <c r="I69" s="4" t="n"/>
      <c r="J69" s="4" t="n"/>
    </row>
    <row r="70">
      <c r="A70" s="18">
        <f>IF(F70&lt;&gt;"",ROW()-4,"")</f>
        <v/>
      </c>
      <c r="B70" s="15" t="n"/>
      <c r="C70" s="4" t="n"/>
      <c r="D70" s="4" t="n"/>
      <c r="E70" s="4" t="n"/>
      <c r="F70" s="16" t="n"/>
      <c r="G70" s="4" t="n"/>
      <c r="H70" s="4" t="n"/>
      <c r="I70" s="4" t="n"/>
      <c r="J70" s="4" t="n"/>
    </row>
    <row r="71">
      <c r="A71" s="14">
        <f>IF(F71&lt;&gt;"",ROW()-4,"")</f>
        <v/>
      </c>
      <c r="B71" s="15" t="n"/>
      <c r="C71" s="4" t="n"/>
      <c r="D71" s="4" t="n"/>
      <c r="E71" s="4" t="n"/>
      <c r="F71" s="16" t="n"/>
      <c r="G71" s="4" t="n"/>
      <c r="H71" s="4" t="n"/>
      <c r="I71" s="4" t="n"/>
      <c r="J71" s="4" t="n"/>
    </row>
    <row r="72">
      <c r="A72" s="18">
        <f>IF(F72&lt;&gt;"",ROW()-4,"")</f>
        <v/>
      </c>
      <c r="B72" s="15" t="n"/>
      <c r="C72" s="4" t="n"/>
      <c r="D72" s="4" t="n"/>
      <c r="E72" s="4" t="n"/>
      <c r="F72" s="16" t="n"/>
      <c r="G72" s="4" t="n"/>
      <c r="H72" s="4" t="n"/>
      <c r="I72" s="4" t="n"/>
      <c r="J72" s="4" t="n"/>
    </row>
    <row r="73">
      <c r="A73" s="14">
        <f>IF(F73&lt;&gt;"",ROW()-4,"")</f>
        <v/>
      </c>
      <c r="B73" s="15" t="n"/>
      <c r="C73" s="4" t="n"/>
      <c r="D73" s="4" t="n"/>
      <c r="E73" s="4" t="n"/>
      <c r="F73" s="16" t="n"/>
      <c r="G73" s="4" t="n"/>
      <c r="H73" s="4" t="n"/>
      <c r="I73" s="4" t="n"/>
      <c r="J73" s="4" t="n"/>
    </row>
    <row r="74">
      <c r="A74" s="18">
        <f>IF(F74&lt;&gt;"",ROW()-4,"")</f>
        <v/>
      </c>
      <c r="B74" s="15" t="n"/>
      <c r="C74" s="4" t="n"/>
      <c r="D74" s="4" t="n"/>
      <c r="E74" s="4" t="n"/>
      <c r="F74" s="16" t="n"/>
      <c r="G74" s="4" t="n"/>
      <c r="H74" s="4" t="n"/>
      <c r="I74" s="4" t="n"/>
      <c r="J74" s="4" t="n"/>
    </row>
    <row r="75">
      <c r="A75" s="14">
        <f>IF(F75&lt;&gt;"",ROW()-4,"")</f>
        <v/>
      </c>
      <c r="B75" s="15" t="n"/>
      <c r="C75" s="4" t="n"/>
      <c r="D75" s="4" t="n"/>
      <c r="E75" s="4" t="n"/>
      <c r="F75" s="16" t="n"/>
      <c r="G75" s="4" t="n"/>
      <c r="H75" s="4" t="n"/>
      <c r="I75" s="4" t="n"/>
      <c r="J75" s="4" t="n"/>
    </row>
    <row r="76">
      <c r="A76" s="18">
        <f>IF(F76&lt;&gt;"",ROW()-4,"")</f>
        <v/>
      </c>
      <c r="B76" s="15" t="n"/>
      <c r="C76" s="4" t="n"/>
      <c r="D76" s="4" t="n"/>
      <c r="E76" s="4" t="n"/>
      <c r="F76" s="16" t="n"/>
      <c r="G76" s="4" t="n"/>
      <c r="H76" s="4" t="n"/>
      <c r="I76" s="4" t="n"/>
      <c r="J76" s="4" t="n"/>
    </row>
    <row r="77">
      <c r="A77" s="14">
        <f>IF(F77&lt;&gt;"",ROW()-4,"")</f>
        <v/>
      </c>
      <c r="B77" s="15" t="n"/>
      <c r="C77" s="4" t="n"/>
      <c r="D77" s="4" t="n"/>
      <c r="E77" s="4" t="n"/>
      <c r="F77" s="16" t="n"/>
      <c r="G77" s="4" t="n"/>
      <c r="H77" s="4" t="n"/>
      <c r="I77" s="4" t="n"/>
      <c r="J77" s="4" t="n"/>
    </row>
    <row r="78">
      <c r="A78" s="18">
        <f>IF(F78&lt;&gt;"",ROW()-4,"")</f>
        <v/>
      </c>
      <c r="B78" s="15" t="n"/>
      <c r="C78" s="4" t="n"/>
      <c r="D78" s="4" t="n"/>
      <c r="E78" s="4" t="n"/>
      <c r="F78" s="16" t="n"/>
      <c r="G78" s="4" t="n"/>
      <c r="H78" s="4" t="n"/>
      <c r="I78" s="4" t="n"/>
      <c r="J78" s="4" t="n"/>
    </row>
    <row r="79">
      <c r="A79" s="14">
        <f>IF(F79&lt;&gt;"",ROW()-4,"")</f>
        <v/>
      </c>
      <c r="B79" s="15" t="n"/>
      <c r="C79" s="4" t="n"/>
      <c r="D79" s="4" t="n"/>
      <c r="E79" s="4" t="n"/>
      <c r="F79" s="16" t="n"/>
      <c r="G79" s="4" t="n"/>
      <c r="H79" s="4" t="n"/>
      <c r="I79" s="4" t="n"/>
      <c r="J79" s="4" t="n"/>
    </row>
    <row r="80">
      <c r="A80" s="18">
        <f>IF(F80&lt;&gt;"",ROW()-4,"")</f>
        <v/>
      </c>
      <c r="B80" s="15" t="n"/>
      <c r="C80" s="4" t="n"/>
      <c r="D80" s="4" t="n"/>
      <c r="E80" s="4" t="n"/>
      <c r="F80" s="16" t="n"/>
      <c r="G80" s="4" t="n"/>
      <c r="H80" s="4" t="n"/>
      <c r="I80" s="4" t="n"/>
      <c r="J80" s="4" t="n"/>
    </row>
    <row r="81">
      <c r="A81" s="14">
        <f>IF(F81&lt;&gt;"",ROW()-4,"")</f>
        <v/>
      </c>
      <c r="B81" s="15" t="n"/>
      <c r="C81" s="4" t="n"/>
      <c r="D81" s="4" t="n"/>
      <c r="E81" s="4" t="n"/>
      <c r="F81" s="16" t="n"/>
      <c r="G81" s="4" t="n"/>
      <c r="H81" s="4" t="n"/>
      <c r="I81" s="4" t="n"/>
      <c r="J81" s="4" t="n"/>
    </row>
    <row r="82">
      <c r="A82" s="18">
        <f>IF(F82&lt;&gt;"",ROW()-4,"")</f>
        <v/>
      </c>
      <c r="B82" s="15" t="n"/>
      <c r="C82" s="4" t="n"/>
      <c r="D82" s="4" t="n"/>
      <c r="E82" s="4" t="n"/>
      <c r="F82" s="16" t="n"/>
      <c r="G82" s="4" t="n"/>
      <c r="H82" s="4" t="n"/>
      <c r="I82" s="4" t="n"/>
      <c r="J82" s="4" t="n"/>
    </row>
    <row r="83">
      <c r="A83" s="14">
        <f>IF(F83&lt;&gt;"",ROW()-4,"")</f>
        <v/>
      </c>
      <c r="B83" s="15" t="n"/>
      <c r="C83" s="4" t="n"/>
      <c r="D83" s="4" t="n"/>
      <c r="E83" s="4" t="n"/>
      <c r="F83" s="16" t="n"/>
      <c r="G83" s="4" t="n"/>
      <c r="H83" s="4" t="n"/>
      <c r="I83" s="4" t="n"/>
      <c r="J83" s="4" t="n"/>
    </row>
    <row r="84">
      <c r="A84" s="18">
        <f>IF(F84&lt;&gt;"",ROW()-4,"")</f>
        <v/>
      </c>
      <c r="B84" s="15" t="n"/>
      <c r="C84" s="4" t="n"/>
      <c r="D84" s="4" t="n"/>
      <c r="E84" s="4" t="n"/>
      <c r="F84" s="16" t="n"/>
      <c r="G84" s="4" t="n"/>
      <c r="H84" s="4" t="n"/>
      <c r="I84" s="4" t="n"/>
      <c r="J84" s="4" t="n"/>
    </row>
    <row r="85">
      <c r="A85" s="14">
        <f>IF(F85&lt;&gt;"",ROW()-4,"")</f>
        <v/>
      </c>
      <c r="B85" s="15" t="n"/>
      <c r="C85" s="4" t="n"/>
      <c r="D85" s="4" t="n"/>
      <c r="E85" s="4" t="n"/>
      <c r="F85" s="16" t="n"/>
      <c r="G85" s="4" t="n"/>
      <c r="H85" s="4" t="n"/>
      <c r="I85" s="4" t="n"/>
      <c r="J85" s="4" t="n"/>
    </row>
    <row r="86">
      <c r="A86" s="18">
        <f>IF(F86&lt;&gt;"",ROW()-4,"")</f>
        <v/>
      </c>
      <c r="B86" s="15" t="n"/>
      <c r="C86" s="4" t="n"/>
      <c r="D86" s="4" t="n"/>
      <c r="E86" s="4" t="n"/>
      <c r="F86" s="16" t="n"/>
      <c r="G86" s="4" t="n"/>
      <c r="H86" s="4" t="n"/>
      <c r="I86" s="4" t="n"/>
      <c r="J86" s="4" t="n"/>
    </row>
    <row r="87">
      <c r="A87" s="14">
        <f>IF(F87&lt;&gt;"",ROW()-4,"")</f>
        <v/>
      </c>
      <c r="B87" s="15" t="n"/>
      <c r="C87" s="4" t="n"/>
      <c r="D87" s="4" t="n"/>
      <c r="E87" s="4" t="n"/>
      <c r="F87" s="16" t="n"/>
      <c r="G87" s="4" t="n"/>
      <c r="H87" s="4" t="n"/>
      <c r="I87" s="4" t="n"/>
      <c r="J87" s="4" t="n"/>
    </row>
    <row r="88">
      <c r="A88" s="18">
        <f>IF(F88&lt;&gt;"",ROW()-4,"")</f>
        <v/>
      </c>
      <c r="B88" s="15" t="n"/>
      <c r="C88" s="4" t="n"/>
      <c r="D88" s="4" t="n"/>
      <c r="E88" s="4" t="n"/>
      <c r="F88" s="16" t="n"/>
      <c r="G88" s="4" t="n"/>
      <c r="H88" s="4" t="n"/>
      <c r="I88" s="4" t="n"/>
      <c r="J88" s="4" t="n"/>
    </row>
    <row r="89">
      <c r="A89" s="14">
        <f>IF(F89&lt;&gt;"",ROW()-4,"")</f>
        <v/>
      </c>
      <c r="B89" s="15" t="n"/>
      <c r="C89" s="4" t="n"/>
      <c r="D89" s="4" t="n"/>
      <c r="E89" s="4" t="n"/>
      <c r="F89" s="16" t="n"/>
      <c r="G89" s="4" t="n"/>
      <c r="H89" s="4" t="n"/>
      <c r="I89" s="4" t="n"/>
      <c r="J89" s="4" t="n"/>
    </row>
    <row r="90">
      <c r="A90" s="18">
        <f>IF(F90&lt;&gt;"",ROW()-4,"")</f>
        <v/>
      </c>
      <c r="B90" s="15" t="n"/>
      <c r="C90" s="4" t="n"/>
      <c r="D90" s="4" t="n"/>
      <c r="E90" s="4" t="n"/>
      <c r="F90" s="16" t="n"/>
      <c r="G90" s="4" t="n"/>
      <c r="H90" s="4" t="n"/>
      <c r="I90" s="4" t="n"/>
      <c r="J90" s="4" t="n"/>
    </row>
    <row r="91">
      <c r="A91" s="14">
        <f>IF(F91&lt;&gt;"",ROW()-4,"")</f>
        <v/>
      </c>
      <c r="B91" s="15" t="n"/>
      <c r="C91" s="4" t="n"/>
      <c r="D91" s="4" t="n"/>
      <c r="E91" s="4" t="n"/>
      <c r="F91" s="16" t="n"/>
      <c r="G91" s="4" t="n"/>
      <c r="H91" s="4" t="n"/>
      <c r="I91" s="4" t="n"/>
      <c r="J91" s="4" t="n"/>
    </row>
    <row r="92">
      <c r="A92" s="18">
        <f>IF(F92&lt;&gt;"",ROW()-4,"")</f>
        <v/>
      </c>
      <c r="B92" s="15" t="n"/>
      <c r="C92" s="4" t="n"/>
      <c r="D92" s="4" t="n"/>
      <c r="E92" s="4" t="n"/>
      <c r="F92" s="16" t="n"/>
      <c r="G92" s="4" t="n"/>
      <c r="H92" s="4" t="n"/>
      <c r="I92" s="4" t="n"/>
      <c r="J92" s="4" t="n"/>
    </row>
    <row r="93">
      <c r="A93" s="14">
        <f>IF(F93&lt;&gt;"",ROW()-4,"")</f>
        <v/>
      </c>
      <c r="B93" s="15" t="n"/>
      <c r="C93" s="4" t="n"/>
      <c r="D93" s="4" t="n"/>
      <c r="E93" s="4" t="n"/>
      <c r="F93" s="16" t="n"/>
      <c r="G93" s="4" t="n"/>
      <c r="H93" s="4" t="n"/>
      <c r="I93" s="4" t="n"/>
      <c r="J93" s="4" t="n"/>
    </row>
    <row r="94">
      <c r="A94" s="18">
        <f>IF(F94&lt;&gt;"",ROW()-4,"")</f>
        <v/>
      </c>
      <c r="B94" s="15" t="n"/>
      <c r="C94" s="4" t="n"/>
      <c r="D94" s="4" t="n"/>
      <c r="E94" s="4" t="n"/>
      <c r="F94" s="16" t="n"/>
      <c r="G94" s="4" t="n"/>
      <c r="H94" s="4" t="n"/>
      <c r="I94" s="4" t="n"/>
      <c r="J94" s="4" t="n"/>
    </row>
    <row r="95">
      <c r="A95" s="14">
        <f>IF(F95&lt;&gt;"",ROW()-4,"")</f>
        <v/>
      </c>
      <c r="B95" s="15" t="n"/>
      <c r="C95" s="4" t="n"/>
      <c r="D95" s="4" t="n"/>
      <c r="E95" s="4" t="n"/>
      <c r="F95" s="16" t="n"/>
      <c r="G95" s="4" t="n"/>
      <c r="H95" s="4" t="n"/>
      <c r="I95" s="4" t="n"/>
      <c r="J95" s="4" t="n"/>
    </row>
    <row r="96">
      <c r="A96" s="18">
        <f>IF(F96&lt;&gt;"",ROW()-4,"")</f>
        <v/>
      </c>
      <c r="B96" s="15" t="n"/>
      <c r="C96" s="4" t="n"/>
      <c r="D96" s="4" t="n"/>
      <c r="E96" s="4" t="n"/>
      <c r="F96" s="16" t="n"/>
      <c r="G96" s="4" t="n"/>
      <c r="H96" s="4" t="n"/>
      <c r="I96" s="4" t="n"/>
      <c r="J96" s="4" t="n"/>
    </row>
    <row r="97">
      <c r="A97" s="14">
        <f>IF(F97&lt;&gt;"",ROW()-4,"")</f>
        <v/>
      </c>
      <c r="B97" s="15" t="n"/>
      <c r="C97" s="4" t="n"/>
      <c r="D97" s="4" t="n"/>
      <c r="E97" s="4" t="n"/>
      <c r="F97" s="16" t="n"/>
      <c r="G97" s="4" t="n"/>
      <c r="H97" s="4" t="n"/>
      <c r="I97" s="4" t="n"/>
      <c r="J97" s="4" t="n"/>
    </row>
    <row r="98">
      <c r="A98" s="18">
        <f>IF(F98&lt;&gt;"",ROW()-4,"")</f>
        <v/>
      </c>
      <c r="B98" s="15" t="n"/>
      <c r="C98" s="4" t="n"/>
      <c r="D98" s="4" t="n"/>
      <c r="E98" s="4" t="n"/>
      <c r="F98" s="16" t="n"/>
      <c r="G98" s="4" t="n"/>
      <c r="H98" s="4" t="n"/>
      <c r="I98" s="4" t="n"/>
      <c r="J98" s="4" t="n"/>
    </row>
    <row r="99">
      <c r="A99" s="14">
        <f>IF(F99&lt;&gt;"",ROW()-4,"")</f>
        <v/>
      </c>
      <c r="B99" s="15" t="n"/>
      <c r="C99" s="4" t="n"/>
      <c r="D99" s="4" t="n"/>
      <c r="E99" s="4" t="n"/>
      <c r="F99" s="16" t="n"/>
      <c r="G99" s="4" t="n"/>
      <c r="H99" s="4" t="n"/>
      <c r="I99" s="4" t="n"/>
      <c r="J99" s="4" t="n"/>
    </row>
    <row r="100">
      <c r="A100" s="18">
        <f>IF(F100&lt;&gt;"",ROW()-4,"")</f>
        <v/>
      </c>
      <c r="B100" s="15" t="n"/>
      <c r="C100" s="4" t="n"/>
      <c r="D100" s="4" t="n"/>
      <c r="E100" s="4" t="n"/>
      <c r="F100" s="16" t="n"/>
      <c r="G100" s="4" t="n"/>
      <c r="H100" s="4" t="n"/>
      <c r="I100" s="4" t="n"/>
      <c r="J100" s="4" t="n"/>
    </row>
    <row r="101">
      <c r="A101" s="14">
        <f>IF(F101&lt;&gt;"",ROW()-4,"")</f>
        <v/>
      </c>
      <c r="B101" s="15" t="n"/>
      <c r="C101" s="4" t="n"/>
      <c r="D101" s="4" t="n"/>
      <c r="E101" s="4" t="n"/>
      <c r="F101" s="16" t="n"/>
      <c r="G101" s="4" t="n"/>
      <c r="H101" s="4" t="n"/>
      <c r="I101" s="4" t="n"/>
      <c r="J101" s="4" t="n"/>
    </row>
    <row r="102">
      <c r="A102" s="18">
        <f>IF(F102&lt;&gt;"",ROW()-4,"")</f>
        <v/>
      </c>
      <c r="B102" s="15" t="n"/>
      <c r="C102" s="4" t="n"/>
      <c r="D102" s="4" t="n"/>
      <c r="E102" s="4" t="n"/>
      <c r="F102" s="16" t="n"/>
      <c r="G102" s="4" t="n"/>
      <c r="H102" s="4" t="n"/>
      <c r="I102" s="4" t="n"/>
      <c r="J102" s="4" t="n"/>
    </row>
    <row r="103">
      <c r="A103" s="14">
        <f>IF(F103&lt;&gt;"",ROW()-4,"")</f>
        <v/>
      </c>
      <c r="B103" s="15" t="n"/>
      <c r="C103" s="4" t="n"/>
      <c r="D103" s="4" t="n"/>
      <c r="E103" s="4" t="n"/>
      <c r="F103" s="16" t="n"/>
      <c r="G103" s="4" t="n"/>
      <c r="H103" s="4" t="n"/>
      <c r="I103" s="4" t="n"/>
      <c r="J103" s="4" t="n"/>
    </row>
    <row r="104">
      <c r="A104" s="18">
        <f>IF(F104&lt;&gt;"",ROW()-4,"")</f>
        <v/>
      </c>
      <c r="B104" s="15" t="n"/>
      <c r="C104" s="4" t="n"/>
      <c r="D104" s="4" t="n"/>
      <c r="E104" s="4" t="n"/>
      <c r="F104" s="16" t="n"/>
      <c r="G104" s="4" t="n"/>
      <c r="H104" s="4" t="n"/>
      <c r="I104" s="4" t="n"/>
      <c r="J104" s="4" t="n"/>
    </row>
    <row r="105">
      <c r="A105" s="14">
        <f>IF(F105&lt;&gt;"",ROW()-4,"")</f>
        <v/>
      </c>
      <c r="B105" s="15" t="n"/>
      <c r="C105" s="4" t="n"/>
      <c r="D105" s="4" t="n"/>
      <c r="E105" s="4" t="n"/>
      <c r="F105" s="16" t="n"/>
      <c r="G105" s="4" t="n"/>
      <c r="H105" s="4" t="n"/>
      <c r="I105" s="4" t="n"/>
      <c r="J105" s="4" t="n"/>
    </row>
    <row r="106">
      <c r="A106" s="18">
        <f>IF(F106&lt;&gt;"",ROW()-4,"")</f>
        <v/>
      </c>
      <c r="B106" s="15" t="n"/>
      <c r="C106" s="4" t="n"/>
      <c r="D106" s="4" t="n"/>
      <c r="E106" s="4" t="n"/>
      <c r="F106" s="16" t="n"/>
      <c r="G106" s="4" t="n"/>
      <c r="H106" s="4" t="n"/>
      <c r="I106" s="4" t="n"/>
      <c r="J106" s="4" t="n"/>
    </row>
    <row r="107">
      <c r="A107" s="14">
        <f>IF(F107&lt;&gt;"",ROW()-4,"")</f>
        <v/>
      </c>
      <c r="B107" s="15" t="n"/>
      <c r="C107" s="4" t="n"/>
      <c r="D107" s="4" t="n"/>
      <c r="E107" s="4" t="n"/>
      <c r="F107" s="16" t="n"/>
      <c r="G107" s="4" t="n"/>
      <c r="H107" s="4" t="n"/>
      <c r="I107" s="4" t="n"/>
      <c r="J107" s="4" t="n"/>
    </row>
    <row r="108">
      <c r="A108" s="18">
        <f>IF(F108&lt;&gt;"",ROW()-4,"")</f>
        <v/>
      </c>
      <c r="B108" s="15" t="n"/>
      <c r="C108" s="4" t="n"/>
      <c r="D108" s="4" t="n"/>
      <c r="E108" s="4" t="n"/>
      <c r="F108" s="16" t="n"/>
      <c r="G108" s="4" t="n"/>
      <c r="H108" s="4" t="n"/>
      <c r="I108" s="4" t="n"/>
      <c r="J108" s="4" t="n"/>
    </row>
    <row r="109">
      <c r="A109" s="14">
        <f>IF(F109&lt;&gt;"",ROW()-4,"")</f>
        <v/>
      </c>
      <c r="B109" s="15" t="n"/>
      <c r="C109" s="4" t="n"/>
      <c r="D109" s="4" t="n"/>
      <c r="E109" s="4" t="n"/>
      <c r="F109" s="16" t="n"/>
      <c r="G109" s="4" t="n"/>
      <c r="H109" s="4" t="n"/>
      <c r="I109" s="4" t="n"/>
      <c r="J109" s="4" t="n"/>
    </row>
    <row r="110">
      <c r="A110" s="18">
        <f>IF(F110&lt;&gt;"",ROW()-4,"")</f>
        <v/>
      </c>
      <c r="B110" s="15" t="n"/>
      <c r="C110" s="4" t="n"/>
      <c r="D110" s="4" t="n"/>
      <c r="E110" s="4" t="n"/>
      <c r="F110" s="16" t="n"/>
      <c r="G110" s="4" t="n"/>
      <c r="H110" s="4" t="n"/>
      <c r="I110" s="4" t="n"/>
      <c r="J110" s="4" t="n"/>
    </row>
    <row r="111">
      <c r="A111" s="14">
        <f>IF(F111&lt;&gt;"",ROW()-4,"")</f>
        <v/>
      </c>
      <c r="B111" s="15" t="n"/>
      <c r="C111" s="4" t="n"/>
      <c r="D111" s="4" t="n"/>
      <c r="E111" s="4" t="n"/>
      <c r="F111" s="16" t="n"/>
      <c r="G111" s="4" t="n"/>
      <c r="H111" s="4" t="n"/>
      <c r="I111" s="4" t="n"/>
      <c r="J111" s="4" t="n"/>
    </row>
    <row r="112">
      <c r="A112" s="18">
        <f>IF(F112&lt;&gt;"",ROW()-4,"")</f>
        <v/>
      </c>
      <c r="B112" s="15" t="n"/>
      <c r="C112" s="4" t="n"/>
      <c r="D112" s="4" t="n"/>
      <c r="E112" s="4" t="n"/>
      <c r="F112" s="16" t="n"/>
      <c r="G112" s="4" t="n"/>
      <c r="H112" s="4" t="n"/>
      <c r="I112" s="4" t="n"/>
      <c r="J112" s="4" t="n"/>
    </row>
    <row r="113">
      <c r="A113" s="14">
        <f>IF(F113&lt;&gt;"",ROW()-4,"")</f>
        <v/>
      </c>
      <c r="B113" s="15" t="n"/>
      <c r="C113" s="4" t="n"/>
      <c r="D113" s="4" t="n"/>
      <c r="E113" s="4" t="n"/>
      <c r="F113" s="16" t="n"/>
      <c r="G113" s="4" t="n"/>
      <c r="H113" s="4" t="n"/>
      <c r="I113" s="4" t="n"/>
      <c r="J113" s="4" t="n"/>
    </row>
    <row r="114">
      <c r="A114" s="18">
        <f>IF(F114&lt;&gt;"",ROW()-4,"")</f>
        <v/>
      </c>
      <c r="B114" s="15" t="n"/>
      <c r="C114" s="4" t="n"/>
      <c r="D114" s="4" t="n"/>
      <c r="E114" s="4" t="n"/>
      <c r="F114" s="16" t="n"/>
      <c r="G114" s="4" t="n"/>
      <c r="H114" s="4" t="n"/>
      <c r="I114" s="4" t="n"/>
      <c r="J114" s="4" t="n"/>
    </row>
    <row r="115">
      <c r="A115" s="14">
        <f>IF(F115&lt;&gt;"",ROW()-4,"")</f>
        <v/>
      </c>
      <c r="B115" s="15" t="n"/>
      <c r="C115" s="4" t="n"/>
      <c r="D115" s="4" t="n"/>
      <c r="E115" s="4" t="n"/>
      <c r="F115" s="16" t="n"/>
      <c r="G115" s="4" t="n"/>
      <c r="H115" s="4" t="n"/>
      <c r="I115" s="4" t="n"/>
      <c r="J115" s="4" t="n"/>
    </row>
    <row r="116">
      <c r="A116" s="18">
        <f>IF(F116&lt;&gt;"",ROW()-4,"")</f>
        <v/>
      </c>
      <c r="B116" s="15" t="n"/>
      <c r="C116" s="4" t="n"/>
      <c r="D116" s="4" t="n"/>
      <c r="E116" s="4" t="n"/>
      <c r="F116" s="16" t="n"/>
      <c r="G116" s="4" t="n"/>
      <c r="H116" s="4" t="n"/>
      <c r="I116" s="4" t="n"/>
      <c r="J116" s="4" t="n"/>
    </row>
    <row r="117">
      <c r="A117" s="14">
        <f>IF(F117&lt;&gt;"",ROW()-4,"")</f>
        <v/>
      </c>
      <c r="B117" s="15" t="n"/>
      <c r="C117" s="4" t="n"/>
      <c r="D117" s="4" t="n"/>
      <c r="E117" s="4" t="n"/>
      <c r="F117" s="16" t="n"/>
      <c r="G117" s="4" t="n"/>
      <c r="H117" s="4" t="n"/>
      <c r="I117" s="4" t="n"/>
      <c r="J117" s="4" t="n"/>
    </row>
    <row r="118">
      <c r="A118" s="18">
        <f>IF(F118&lt;&gt;"",ROW()-4,"")</f>
        <v/>
      </c>
      <c r="B118" s="15" t="n"/>
      <c r="C118" s="4" t="n"/>
      <c r="D118" s="4" t="n"/>
      <c r="E118" s="4" t="n"/>
      <c r="F118" s="16" t="n"/>
      <c r="G118" s="4" t="n"/>
      <c r="H118" s="4" t="n"/>
      <c r="I118" s="4" t="n"/>
      <c r="J118" s="4" t="n"/>
    </row>
    <row r="119">
      <c r="A119" s="14">
        <f>IF(F119&lt;&gt;"",ROW()-4,"")</f>
        <v/>
      </c>
      <c r="B119" s="15" t="n"/>
      <c r="C119" s="4" t="n"/>
      <c r="D119" s="4" t="n"/>
      <c r="E119" s="4" t="n"/>
      <c r="F119" s="16" t="n"/>
      <c r="G119" s="4" t="n"/>
      <c r="H119" s="4" t="n"/>
      <c r="I119" s="4" t="n"/>
      <c r="J119" s="4" t="n"/>
    </row>
    <row r="120">
      <c r="A120" s="18">
        <f>IF(F120&lt;&gt;"",ROW()-4,"")</f>
        <v/>
      </c>
      <c r="B120" s="15" t="n"/>
      <c r="C120" s="4" t="n"/>
      <c r="D120" s="4" t="n"/>
      <c r="E120" s="4" t="n"/>
      <c r="F120" s="16" t="n"/>
      <c r="G120" s="4" t="n"/>
      <c r="H120" s="4" t="n"/>
      <c r="I120" s="4" t="n"/>
      <c r="J120" s="4" t="n"/>
    </row>
    <row r="121">
      <c r="A121" s="14">
        <f>IF(F121&lt;&gt;"",ROW()-4,"")</f>
        <v/>
      </c>
      <c r="B121" s="15" t="n"/>
      <c r="C121" s="4" t="n"/>
      <c r="D121" s="4" t="n"/>
      <c r="E121" s="4" t="n"/>
      <c r="F121" s="16" t="n"/>
      <c r="G121" s="4" t="n"/>
      <c r="H121" s="4" t="n"/>
      <c r="I121" s="4" t="n"/>
      <c r="J121" s="4" t="n"/>
    </row>
    <row r="122">
      <c r="A122" s="18">
        <f>IF(F122&lt;&gt;"",ROW()-4,"")</f>
        <v/>
      </c>
      <c r="B122" s="15" t="n"/>
      <c r="C122" s="4" t="n"/>
      <c r="D122" s="4" t="n"/>
      <c r="E122" s="4" t="n"/>
      <c r="F122" s="16" t="n"/>
      <c r="G122" s="4" t="n"/>
      <c r="H122" s="4" t="n"/>
      <c r="I122" s="4" t="n"/>
      <c r="J122" s="4" t="n"/>
    </row>
    <row r="123">
      <c r="A123" s="14">
        <f>IF(F123&lt;&gt;"",ROW()-4,"")</f>
        <v/>
      </c>
      <c r="B123" s="15" t="n"/>
      <c r="C123" s="4" t="n"/>
      <c r="D123" s="4" t="n"/>
      <c r="E123" s="4" t="n"/>
      <c r="F123" s="16" t="n"/>
      <c r="G123" s="4" t="n"/>
      <c r="H123" s="4" t="n"/>
      <c r="I123" s="4" t="n"/>
      <c r="J123" s="4" t="n"/>
    </row>
    <row r="124">
      <c r="A124" s="18">
        <f>IF(F124&lt;&gt;"",ROW()-4,"")</f>
        <v/>
      </c>
      <c r="B124" s="15" t="n"/>
      <c r="C124" s="4" t="n"/>
      <c r="D124" s="4" t="n"/>
      <c r="E124" s="4" t="n"/>
      <c r="F124" s="16" t="n"/>
      <c r="G124" s="4" t="n"/>
      <c r="H124" s="4" t="n"/>
      <c r="I124" s="4" t="n"/>
      <c r="J124" s="4" t="n"/>
    </row>
    <row r="125">
      <c r="A125" s="14">
        <f>IF(F125&lt;&gt;"",ROW()-4,"")</f>
        <v/>
      </c>
      <c r="B125" s="15" t="n"/>
      <c r="C125" s="4" t="n"/>
      <c r="D125" s="4" t="n"/>
      <c r="E125" s="4" t="n"/>
      <c r="F125" s="16" t="n"/>
      <c r="G125" s="4" t="n"/>
      <c r="H125" s="4" t="n"/>
      <c r="I125" s="4" t="n"/>
      <c r="J125" s="4" t="n"/>
    </row>
    <row r="126">
      <c r="A126" s="18">
        <f>IF(F126&lt;&gt;"",ROW()-4,"")</f>
        <v/>
      </c>
      <c r="B126" s="15" t="n"/>
      <c r="C126" s="4" t="n"/>
      <c r="D126" s="4" t="n"/>
      <c r="E126" s="4" t="n"/>
      <c r="F126" s="16" t="n"/>
      <c r="G126" s="4" t="n"/>
      <c r="H126" s="4" t="n"/>
      <c r="I126" s="4" t="n"/>
      <c r="J126" s="4" t="n"/>
    </row>
    <row r="127">
      <c r="A127" s="14">
        <f>IF(F127&lt;&gt;"",ROW()-4,"")</f>
        <v/>
      </c>
      <c r="B127" s="15" t="n"/>
      <c r="C127" s="4" t="n"/>
      <c r="D127" s="4" t="n"/>
      <c r="E127" s="4" t="n"/>
      <c r="F127" s="16" t="n"/>
      <c r="G127" s="4" t="n"/>
      <c r="H127" s="4" t="n"/>
      <c r="I127" s="4" t="n"/>
      <c r="J127" s="4" t="n"/>
    </row>
    <row r="128">
      <c r="A128" s="18">
        <f>IF(F128&lt;&gt;"",ROW()-4,"")</f>
        <v/>
      </c>
      <c r="B128" s="15" t="n"/>
      <c r="C128" s="4" t="n"/>
      <c r="D128" s="4" t="n"/>
      <c r="E128" s="4" t="n"/>
      <c r="F128" s="16" t="n"/>
      <c r="G128" s="4" t="n"/>
      <c r="H128" s="4" t="n"/>
      <c r="I128" s="4" t="n"/>
      <c r="J128" s="4" t="n"/>
    </row>
    <row r="129">
      <c r="A129" s="14">
        <f>IF(F129&lt;&gt;"",ROW()-4,"")</f>
        <v/>
      </c>
      <c r="B129" s="15" t="n"/>
      <c r="C129" s="4" t="n"/>
      <c r="D129" s="4" t="n"/>
      <c r="E129" s="4" t="n"/>
      <c r="F129" s="16" t="n"/>
      <c r="G129" s="4" t="n"/>
      <c r="H129" s="4" t="n"/>
      <c r="I129" s="4" t="n"/>
      <c r="J129" s="4" t="n"/>
    </row>
    <row r="130">
      <c r="A130" s="18">
        <f>IF(F130&lt;&gt;"",ROW()-4,"")</f>
        <v/>
      </c>
      <c r="B130" s="15" t="n"/>
      <c r="C130" s="4" t="n"/>
      <c r="D130" s="4" t="n"/>
      <c r="E130" s="4" t="n"/>
      <c r="F130" s="16" t="n"/>
      <c r="G130" s="4" t="n"/>
      <c r="H130" s="4" t="n"/>
      <c r="I130" s="4" t="n"/>
      <c r="J130" s="4" t="n"/>
    </row>
    <row r="131">
      <c r="A131" s="14">
        <f>IF(F131&lt;&gt;"",ROW()-4,"")</f>
        <v/>
      </c>
      <c r="B131" s="15" t="n"/>
      <c r="C131" s="4" t="n"/>
      <c r="D131" s="4" t="n"/>
      <c r="E131" s="4" t="n"/>
      <c r="F131" s="16" t="n"/>
      <c r="G131" s="4" t="n"/>
      <c r="H131" s="4" t="n"/>
      <c r="I131" s="4" t="n"/>
      <c r="J131" s="4" t="n"/>
    </row>
    <row r="132">
      <c r="A132" s="18">
        <f>IF(F132&lt;&gt;"",ROW()-4,"")</f>
        <v/>
      </c>
      <c r="B132" s="15" t="n"/>
      <c r="C132" s="4" t="n"/>
      <c r="D132" s="4" t="n"/>
      <c r="E132" s="4" t="n"/>
      <c r="F132" s="16" t="n"/>
      <c r="G132" s="4" t="n"/>
      <c r="H132" s="4" t="n"/>
      <c r="I132" s="4" t="n"/>
      <c r="J132" s="4" t="n"/>
    </row>
    <row r="133">
      <c r="A133" s="14">
        <f>IF(F133&lt;&gt;"",ROW()-4,"")</f>
        <v/>
      </c>
      <c r="B133" s="15" t="n"/>
      <c r="C133" s="4" t="n"/>
      <c r="D133" s="4" t="n"/>
      <c r="E133" s="4" t="n"/>
      <c r="F133" s="16" t="n"/>
      <c r="G133" s="4" t="n"/>
      <c r="H133" s="4" t="n"/>
      <c r="I133" s="4" t="n"/>
      <c r="J133" s="4" t="n"/>
    </row>
    <row r="134">
      <c r="A134" s="18">
        <f>IF(F134&lt;&gt;"",ROW()-4,"")</f>
        <v/>
      </c>
      <c r="B134" s="15" t="n"/>
      <c r="C134" s="4" t="n"/>
      <c r="D134" s="4" t="n"/>
      <c r="E134" s="4" t="n"/>
      <c r="F134" s="16" t="n"/>
      <c r="G134" s="4" t="n"/>
      <c r="H134" s="4" t="n"/>
      <c r="I134" s="4" t="n"/>
      <c r="J134" s="4" t="n"/>
    </row>
    <row r="135">
      <c r="A135" s="14">
        <f>IF(F135&lt;&gt;"",ROW()-4,"")</f>
        <v/>
      </c>
      <c r="B135" s="15" t="n"/>
      <c r="C135" s="4" t="n"/>
      <c r="D135" s="4" t="n"/>
      <c r="E135" s="4" t="n"/>
      <c r="F135" s="16" t="n"/>
      <c r="G135" s="4" t="n"/>
      <c r="H135" s="4" t="n"/>
      <c r="I135" s="4" t="n"/>
      <c r="J135" s="4" t="n"/>
    </row>
    <row r="136">
      <c r="A136" s="18">
        <f>IF(F136&lt;&gt;"",ROW()-4,"")</f>
        <v/>
      </c>
      <c r="B136" s="15" t="n"/>
      <c r="C136" s="4" t="n"/>
      <c r="D136" s="4" t="n"/>
      <c r="E136" s="4" t="n"/>
      <c r="F136" s="16" t="n"/>
      <c r="G136" s="4" t="n"/>
      <c r="H136" s="4" t="n"/>
      <c r="I136" s="4" t="n"/>
      <c r="J136" s="4" t="n"/>
    </row>
    <row r="137">
      <c r="A137" s="14">
        <f>IF(F137&lt;&gt;"",ROW()-4,"")</f>
        <v/>
      </c>
      <c r="B137" s="15" t="n"/>
      <c r="C137" s="4" t="n"/>
      <c r="D137" s="4" t="n"/>
      <c r="E137" s="4" t="n"/>
      <c r="F137" s="16" t="n"/>
      <c r="G137" s="4" t="n"/>
      <c r="H137" s="4" t="n"/>
      <c r="I137" s="4" t="n"/>
      <c r="J137" s="4" t="n"/>
    </row>
    <row r="138">
      <c r="A138" s="18">
        <f>IF(F138&lt;&gt;"",ROW()-4,"")</f>
        <v/>
      </c>
      <c r="B138" s="15" t="n"/>
      <c r="C138" s="4" t="n"/>
      <c r="D138" s="4" t="n"/>
      <c r="E138" s="4" t="n"/>
      <c r="F138" s="16" t="n"/>
      <c r="G138" s="4" t="n"/>
      <c r="H138" s="4" t="n"/>
      <c r="I138" s="4" t="n"/>
      <c r="J138" s="4" t="n"/>
    </row>
    <row r="139">
      <c r="A139" s="14">
        <f>IF(F139&lt;&gt;"",ROW()-4,"")</f>
        <v/>
      </c>
      <c r="B139" s="15" t="n"/>
      <c r="C139" s="4" t="n"/>
      <c r="D139" s="4" t="n"/>
      <c r="E139" s="4" t="n"/>
      <c r="F139" s="16" t="n"/>
      <c r="G139" s="4" t="n"/>
      <c r="H139" s="4" t="n"/>
      <c r="I139" s="4" t="n"/>
      <c r="J139" s="4" t="n"/>
    </row>
    <row r="140">
      <c r="A140" s="18">
        <f>IF(F140&lt;&gt;"",ROW()-4,"")</f>
        <v/>
      </c>
      <c r="B140" s="15" t="n"/>
      <c r="C140" s="4" t="n"/>
      <c r="D140" s="4" t="n"/>
      <c r="E140" s="4" t="n"/>
      <c r="F140" s="16" t="n"/>
      <c r="G140" s="4" t="n"/>
      <c r="H140" s="4" t="n"/>
      <c r="I140" s="4" t="n"/>
      <c r="J140" s="4" t="n"/>
    </row>
    <row r="141">
      <c r="A141" s="14">
        <f>IF(F141&lt;&gt;"",ROW()-4,"")</f>
        <v/>
      </c>
      <c r="B141" s="15" t="n"/>
      <c r="C141" s="4" t="n"/>
      <c r="D141" s="4" t="n"/>
      <c r="E141" s="4" t="n"/>
      <c r="F141" s="16" t="n"/>
      <c r="G141" s="4" t="n"/>
      <c r="H141" s="4" t="n"/>
      <c r="I141" s="4" t="n"/>
      <c r="J141" s="4" t="n"/>
    </row>
    <row r="142">
      <c r="A142" s="18">
        <f>IF(F142&lt;&gt;"",ROW()-4,"")</f>
        <v/>
      </c>
      <c r="B142" s="15" t="n"/>
      <c r="C142" s="4" t="n"/>
      <c r="D142" s="4" t="n"/>
      <c r="E142" s="4" t="n"/>
      <c r="F142" s="16" t="n"/>
      <c r="G142" s="4" t="n"/>
      <c r="H142" s="4" t="n"/>
      <c r="I142" s="4" t="n"/>
      <c r="J142" s="4" t="n"/>
    </row>
    <row r="143">
      <c r="A143" s="14">
        <f>IF(F143&lt;&gt;"",ROW()-4,"")</f>
        <v/>
      </c>
      <c r="B143" s="15" t="n"/>
      <c r="C143" s="4" t="n"/>
      <c r="D143" s="4" t="n"/>
      <c r="E143" s="4" t="n"/>
      <c r="F143" s="16" t="n"/>
      <c r="G143" s="4" t="n"/>
      <c r="H143" s="4" t="n"/>
      <c r="I143" s="4" t="n"/>
      <c r="J143" s="4" t="n"/>
    </row>
    <row r="144">
      <c r="A144" s="18">
        <f>IF(F144&lt;&gt;"",ROW()-4,"")</f>
        <v/>
      </c>
      <c r="B144" s="15" t="n"/>
      <c r="C144" s="4" t="n"/>
      <c r="D144" s="4" t="n"/>
      <c r="E144" s="4" t="n"/>
      <c r="F144" s="16" t="n"/>
      <c r="G144" s="4" t="n"/>
      <c r="H144" s="4" t="n"/>
      <c r="I144" s="4" t="n"/>
      <c r="J144" s="4" t="n"/>
    </row>
    <row r="145">
      <c r="A145" s="14">
        <f>IF(F145&lt;&gt;"",ROW()-4,"")</f>
        <v/>
      </c>
      <c r="B145" s="15" t="n"/>
      <c r="C145" s="4" t="n"/>
      <c r="D145" s="4" t="n"/>
      <c r="E145" s="4" t="n"/>
      <c r="F145" s="16" t="n"/>
      <c r="G145" s="4" t="n"/>
      <c r="H145" s="4" t="n"/>
      <c r="I145" s="4" t="n"/>
      <c r="J145" s="4" t="n"/>
    </row>
    <row r="146">
      <c r="A146" s="18">
        <f>IF(F146&lt;&gt;"",ROW()-4,"")</f>
        <v/>
      </c>
      <c r="B146" s="15" t="n"/>
      <c r="C146" s="4" t="n"/>
      <c r="D146" s="4" t="n"/>
      <c r="E146" s="4" t="n"/>
      <c r="F146" s="16" t="n"/>
      <c r="G146" s="4" t="n"/>
      <c r="H146" s="4" t="n"/>
      <c r="I146" s="4" t="n"/>
      <c r="J146" s="4" t="n"/>
    </row>
    <row r="147">
      <c r="A147" s="14">
        <f>IF(F147&lt;&gt;"",ROW()-4,"")</f>
        <v/>
      </c>
      <c r="B147" s="15" t="n"/>
      <c r="C147" s="4" t="n"/>
      <c r="D147" s="4" t="n"/>
      <c r="E147" s="4" t="n"/>
      <c r="F147" s="16" t="n"/>
      <c r="G147" s="4" t="n"/>
      <c r="H147" s="4" t="n"/>
      <c r="I147" s="4" t="n"/>
      <c r="J147" s="4" t="n"/>
    </row>
    <row r="148">
      <c r="A148" s="18">
        <f>IF(F148&lt;&gt;"",ROW()-4,"")</f>
        <v/>
      </c>
      <c r="B148" s="15" t="n"/>
      <c r="C148" s="4" t="n"/>
      <c r="D148" s="4" t="n"/>
      <c r="E148" s="4" t="n"/>
      <c r="F148" s="16" t="n"/>
      <c r="G148" s="4" t="n"/>
      <c r="H148" s="4" t="n"/>
      <c r="I148" s="4" t="n"/>
      <c r="J148" s="4" t="n"/>
    </row>
    <row r="149">
      <c r="A149" s="14">
        <f>IF(F149&lt;&gt;"",ROW()-4,"")</f>
        <v/>
      </c>
      <c r="B149" s="15" t="n"/>
      <c r="C149" s="4" t="n"/>
      <c r="D149" s="4" t="n"/>
      <c r="E149" s="4" t="n"/>
      <c r="F149" s="16" t="n"/>
      <c r="G149" s="4" t="n"/>
      <c r="H149" s="4" t="n"/>
      <c r="I149" s="4" t="n"/>
      <c r="J149" s="4" t="n"/>
    </row>
    <row r="150">
      <c r="A150" s="18">
        <f>IF(F150&lt;&gt;"",ROW()-4,"")</f>
        <v/>
      </c>
      <c r="B150" s="15" t="n"/>
      <c r="C150" s="4" t="n"/>
      <c r="D150" s="4" t="n"/>
      <c r="E150" s="4" t="n"/>
      <c r="F150" s="16" t="n"/>
      <c r="G150" s="4" t="n"/>
      <c r="H150" s="4" t="n"/>
      <c r="I150" s="4" t="n"/>
      <c r="J150" s="4" t="n"/>
    </row>
    <row r="151">
      <c r="A151" s="14">
        <f>IF(F151&lt;&gt;"",ROW()-4,"")</f>
        <v/>
      </c>
      <c r="B151" s="15" t="n"/>
      <c r="C151" s="4" t="n"/>
      <c r="D151" s="4" t="n"/>
      <c r="E151" s="4" t="n"/>
      <c r="F151" s="16" t="n"/>
      <c r="G151" s="4" t="n"/>
      <c r="H151" s="4" t="n"/>
      <c r="I151" s="4" t="n"/>
      <c r="J151" s="4" t="n"/>
    </row>
    <row r="152">
      <c r="A152" s="18">
        <f>IF(F152&lt;&gt;"",ROW()-4,"")</f>
        <v/>
      </c>
      <c r="B152" s="15" t="n"/>
      <c r="C152" s="4" t="n"/>
      <c r="D152" s="4" t="n"/>
      <c r="E152" s="4" t="n"/>
      <c r="F152" s="16" t="n"/>
      <c r="G152" s="4" t="n"/>
      <c r="H152" s="4" t="n"/>
      <c r="I152" s="4" t="n"/>
      <c r="J152" s="4" t="n"/>
    </row>
    <row r="153">
      <c r="A153" s="14">
        <f>IF(F153&lt;&gt;"",ROW()-4,"")</f>
        <v/>
      </c>
      <c r="B153" s="15" t="n"/>
      <c r="C153" s="4" t="n"/>
      <c r="D153" s="4" t="n"/>
      <c r="E153" s="4" t="n"/>
      <c r="F153" s="16" t="n"/>
      <c r="G153" s="4" t="n"/>
      <c r="H153" s="4" t="n"/>
      <c r="I153" s="4" t="n"/>
      <c r="J153" s="4" t="n"/>
    </row>
    <row r="154">
      <c r="A154" s="18">
        <f>IF(F154&lt;&gt;"",ROW()-4,"")</f>
        <v/>
      </c>
      <c r="B154" s="15" t="n"/>
      <c r="C154" s="4" t="n"/>
      <c r="D154" s="4" t="n"/>
      <c r="E154" s="4" t="n"/>
      <c r="F154" s="16" t="n"/>
      <c r="G154" s="4" t="n"/>
      <c r="H154" s="4" t="n"/>
      <c r="I154" s="4" t="n"/>
      <c r="J154" s="4" t="n"/>
    </row>
    <row r="155">
      <c r="A155" s="14">
        <f>IF(F155&lt;&gt;"",ROW()-4,"")</f>
        <v/>
      </c>
      <c r="B155" s="15" t="n"/>
      <c r="C155" s="4" t="n"/>
      <c r="D155" s="4" t="n"/>
      <c r="E155" s="4" t="n"/>
      <c r="F155" s="16" t="n"/>
      <c r="G155" s="4" t="n"/>
      <c r="H155" s="4" t="n"/>
      <c r="I155" s="4" t="n"/>
      <c r="J155" s="4" t="n"/>
    </row>
    <row r="156">
      <c r="A156" s="18">
        <f>IF(F156&lt;&gt;"",ROW()-4,"")</f>
        <v/>
      </c>
      <c r="B156" s="15" t="n"/>
      <c r="C156" s="4" t="n"/>
      <c r="D156" s="4" t="n"/>
      <c r="E156" s="4" t="n"/>
      <c r="F156" s="16" t="n"/>
      <c r="G156" s="4" t="n"/>
      <c r="H156" s="4" t="n"/>
      <c r="I156" s="4" t="n"/>
      <c r="J156" s="4" t="n"/>
    </row>
    <row r="157">
      <c r="A157" s="14">
        <f>IF(F157&lt;&gt;"",ROW()-4,"")</f>
        <v/>
      </c>
      <c r="B157" s="15" t="n"/>
      <c r="C157" s="4" t="n"/>
      <c r="D157" s="4" t="n"/>
      <c r="E157" s="4" t="n"/>
      <c r="F157" s="16" t="n"/>
      <c r="G157" s="4" t="n"/>
      <c r="H157" s="4" t="n"/>
      <c r="I157" s="4" t="n"/>
      <c r="J157" s="4" t="n"/>
    </row>
    <row r="158">
      <c r="A158" s="18">
        <f>IF(F158&lt;&gt;"",ROW()-4,"")</f>
        <v/>
      </c>
      <c r="B158" s="15" t="n"/>
      <c r="C158" s="4" t="n"/>
      <c r="D158" s="4" t="n"/>
      <c r="E158" s="4" t="n"/>
      <c r="F158" s="16" t="n"/>
      <c r="G158" s="4" t="n"/>
      <c r="H158" s="4" t="n"/>
      <c r="I158" s="4" t="n"/>
      <c r="J158" s="4" t="n"/>
    </row>
    <row r="159">
      <c r="A159" s="14">
        <f>IF(F159&lt;&gt;"",ROW()-4,"")</f>
        <v/>
      </c>
      <c r="B159" s="15" t="n"/>
      <c r="C159" s="4" t="n"/>
      <c r="D159" s="4" t="n"/>
      <c r="E159" s="4" t="n"/>
      <c r="F159" s="16" t="n"/>
      <c r="G159" s="4" t="n"/>
      <c r="H159" s="4" t="n"/>
      <c r="I159" s="4" t="n"/>
      <c r="J159" s="4" t="n"/>
    </row>
    <row r="160">
      <c r="A160" s="18">
        <f>IF(F160&lt;&gt;"",ROW()-4,"")</f>
        <v/>
      </c>
      <c r="B160" s="15" t="n"/>
      <c r="C160" s="4" t="n"/>
      <c r="D160" s="4" t="n"/>
      <c r="E160" s="4" t="n"/>
      <c r="F160" s="16" t="n"/>
      <c r="G160" s="4" t="n"/>
      <c r="H160" s="4" t="n"/>
      <c r="I160" s="4" t="n"/>
      <c r="J160" s="4" t="n"/>
    </row>
    <row r="161">
      <c r="A161" s="14">
        <f>IF(F161&lt;&gt;"",ROW()-4,"")</f>
        <v/>
      </c>
      <c r="B161" s="15" t="n"/>
      <c r="C161" s="4" t="n"/>
      <c r="D161" s="4" t="n"/>
      <c r="E161" s="4" t="n"/>
      <c r="F161" s="16" t="n"/>
      <c r="G161" s="4" t="n"/>
      <c r="H161" s="4" t="n"/>
      <c r="I161" s="4" t="n"/>
      <c r="J161" s="4" t="n"/>
    </row>
    <row r="162">
      <c r="A162" s="18">
        <f>IF(F162&lt;&gt;"",ROW()-4,"")</f>
        <v/>
      </c>
      <c r="B162" s="15" t="n"/>
      <c r="C162" s="4" t="n"/>
      <c r="D162" s="4" t="n"/>
      <c r="E162" s="4" t="n"/>
      <c r="F162" s="16" t="n"/>
      <c r="G162" s="4" t="n"/>
      <c r="H162" s="4" t="n"/>
      <c r="I162" s="4" t="n"/>
      <c r="J162" s="4" t="n"/>
    </row>
    <row r="163">
      <c r="A163" s="14">
        <f>IF(F163&lt;&gt;"",ROW()-4,"")</f>
        <v/>
      </c>
      <c r="B163" s="15" t="n"/>
      <c r="C163" s="4" t="n"/>
      <c r="D163" s="4" t="n"/>
      <c r="E163" s="4" t="n"/>
      <c r="F163" s="16" t="n"/>
      <c r="G163" s="4" t="n"/>
      <c r="H163" s="4" t="n"/>
      <c r="I163" s="4" t="n"/>
      <c r="J163" s="4" t="n"/>
    </row>
    <row r="164">
      <c r="A164" s="18">
        <f>IF(F164&lt;&gt;"",ROW()-4,"")</f>
        <v/>
      </c>
      <c r="B164" s="15" t="n"/>
      <c r="C164" s="4" t="n"/>
      <c r="D164" s="4" t="n"/>
      <c r="E164" s="4" t="n"/>
      <c r="F164" s="16" t="n"/>
      <c r="G164" s="4" t="n"/>
      <c r="H164" s="4" t="n"/>
      <c r="I164" s="4" t="n"/>
      <c r="J164" s="4" t="n"/>
    </row>
    <row r="165">
      <c r="A165" s="14">
        <f>IF(F165&lt;&gt;"",ROW()-4,"")</f>
        <v/>
      </c>
      <c r="B165" s="15" t="n"/>
      <c r="C165" s="4" t="n"/>
      <c r="D165" s="4" t="n"/>
      <c r="E165" s="4" t="n"/>
      <c r="F165" s="16" t="n"/>
      <c r="G165" s="4" t="n"/>
      <c r="H165" s="4" t="n"/>
      <c r="I165" s="4" t="n"/>
      <c r="J165" s="4" t="n"/>
    </row>
    <row r="166">
      <c r="A166" s="18">
        <f>IF(F166&lt;&gt;"",ROW()-4,"")</f>
        <v/>
      </c>
      <c r="B166" s="15" t="n"/>
      <c r="C166" s="4" t="n"/>
      <c r="D166" s="4" t="n"/>
      <c r="E166" s="4" t="n"/>
      <c r="F166" s="16" t="n"/>
      <c r="G166" s="4" t="n"/>
      <c r="H166" s="4" t="n"/>
      <c r="I166" s="4" t="n"/>
      <c r="J166" s="4" t="n"/>
    </row>
    <row r="167">
      <c r="A167" s="14">
        <f>IF(F167&lt;&gt;"",ROW()-4,"")</f>
        <v/>
      </c>
      <c r="B167" s="15" t="n"/>
      <c r="C167" s="4" t="n"/>
      <c r="D167" s="4" t="n"/>
      <c r="E167" s="4" t="n"/>
      <c r="F167" s="16" t="n"/>
      <c r="G167" s="4" t="n"/>
      <c r="H167" s="4" t="n"/>
      <c r="I167" s="4" t="n"/>
      <c r="J167" s="4" t="n"/>
    </row>
    <row r="168">
      <c r="A168" s="18">
        <f>IF(F168&lt;&gt;"",ROW()-4,"")</f>
        <v/>
      </c>
      <c r="B168" s="15" t="n"/>
      <c r="C168" s="4" t="n"/>
      <c r="D168" s="4" t="n"/>
      <c r="E168" s="4" t="n"/>
      <c r="F168" s="16" t="n"/>
      <c r="G168" s="4" t="n"/>
      <c r="H168" s="4" t="n"/>
      <c r="I168" s="4" t="n"/>
      <c r="J168" s="4" t="n"/>
    </row>
    <row r="169">
      <c r="A169" s="14">
        <f>IF(F169&lt;&gt;"",ROW()-4,"")</f>
        <v/>
      </c>
      <c r="B169" s="15" t="n"/>
      <c r="C169" s="4" t="n"/>
      <c r="D169" s="4" t="n"/>
      <c r="E169" s="4" t="n"/>
      <c r="F169" s="16" t="n"/>
      <c r="G169" s="4" t="n"/>
      <c r="H169" s="4" t="n"/>
      <c r="I169" s="4" t="n"/>
      <c r="J169" s="4" t="n"/>
    </row>
    <row r="170">
      <c r="A170" s="18">
        <f>IF(F170&lt;&gt;"",ROW()-4,"")</f>
        <v/>
      </c>
      <c r="B170" s="15" t="n"/>
      <c r="C170" s="4" t="n"/>
      <c r="D170" s="4" t="n"/>
      <c r="E170" s="4" t="n"/>
      <c r="F170" s="16" t="n"/>
      <c r="G170" s="4" t="n"/>
      <c r="H170" s="4" t="n"/>
      <c r="I170" s="4" t="n"/>
      <c r="J170" s="4" t="n"/>
    </row>
    <row r="171">
      <c r="A171" s="14">
        <f>IF(F171&lt;&gt;"",ROW()-4,"")</f>
        <v/>
      </c>
      <c r="B171" s="15" t="n"/>
      <c r="C171" s="4" t="n"/>
      <c r="D171" s="4" t="n"/>
      <c r="E171" s="4" t="n"/>
      <c r="F171" s="16" t="n"/>
      <c r="G171" s="4" t="n"/>
      <c r="H171" s="4" t="n"/>
      <c r="I171" s="4" t="n"/>
      <c r="J171" s="4" t="n"/>
    </row>
    <row r="172">
      <c r="A172" s="18">
        <f>IF(F172&lt;&gt;"",ROW()-4,"")</f>
        <v/>
      </c>
      <c r="B172" s="15" t="n"/>
      <c r="C172" s="4" t="n"/>
      <c r="D172" s="4" t="n"/>
      <c r="E172" s="4" t="n"/>
      <c r="F172" s="16" t="n"/>
      <c r="G172" s="4" t="n"/>
      <c r="H172" s="4" t="n"/>
      <c r="I172" s="4" t="n"/>
      <c r="J172" s="4" t="n"/>
    </row>
    <row r="173">
      <c r="A173" s="14">
        <f>IF(F173&lt;&gt;"",ROW()-4,"")</f>
        <v/>
      </c>
      <c r="B173" s="15" t="n"/>
      <c r="C173" s="4" t="n"/>
      <c r="D173" s="4" t="n"/>
      <c r="E173" s="4" t="n"/>
      <c r="F173" s="16" t="n"/>
      <c r="G173" s="4" t="n"/>
      <c r="H173" s="4" t="n"/>
      <c r="I173" s="4" t="n"/>
      <c r="J173" s="4" t="n"/>
    </row>
    <row r="174">
      <c r="A174" s="18">
        <f>IF(F174&lt;&gt;"",ROW()-4,"")</f>
        <v/>
      </c>
      <c r="B174" s="15" t="n"/>
      <c r="C174" s="4" t="n"/>
      <c r="D174" s="4" t="n"/>
      <c r="E174" s="4" t="n"/>
      <c r="F174" s="16" t="n"/>
      <c r="G174" s="4" t="n"/>
      <c r="H174" s="4" t="n"/>
      <c r="I174" s="4" t="n"/>
      <c r="J174" s="4" t="n"/>
    </row>
    <row r="175">
      <c r="A175" s="14">
        <f>IF(F175&lt;&gt;"",ROW()-4,"")</f>
        <v/>
      </c>
      <c r="B175" s="15" t="n"/>
      <c r="C175" s="4" t="n"/>
      <c r="D175" s="4" t="n"/>
      <c r="E175" s="4" t="n"/>
      <c r="F175" s="16" t="n"/>
      <c r="G175" s="4" t="n"/>
      <c r="H175" s="4" t="n"/>
      <c r="I175" s="4" t="n"/>
      <c r="J175" s="4" t="n"/>
    </row>
    <row r="176">
      <c r="A176" s="18">
        <f>IF(F176&lt;&gt;"",ROW()-4,"")</f>
        <v/>
      </c>
      <c r="B176" s="15" t="n"/>
      <c r="C176" s="4" t="n"/>
      <c r="D176" s="4" t="n"/>
      <c r="E176" s="4" t="n"/>
      <c r="F176" s="16" t="n"/>
      <c r="G176" s="4" t="n"/>
      <c r="H176" s="4" t="n"/>
      <c r="I176" s="4" t="n"/>
      <c r="J176" s="4" t="n"/>
    </row>
    <row r="177">
      <c r="A177" s="14">
        <f>IF(F177&lt;&gt;"",ROW()-4,"")</f>
        <v/>
      </c>
      <c r="B177" s="15" t="n"/>
      <c r="C177" s="4" t="n"/>
      <c r="D177" s="4" t="n"/>
      <c r="E177" s="4" t="n"/>
      <c r="F177" s="16" t="n"/>
      <c r="G177" s="4" t="n"/>
      <c r="H177" s="4" t="n"/>
      <c r="I177" s="4" t="n"/>
      <c r="J177" s="4" t="n"/>
    </row>
    <row r="178">
      <c r="A178" s="18">
        <f>IF(F178&lt;&gt;"",ROW()-4,"")</f>
        <v/>
      </c>
      <c r="B178" s="15" t="n"/>
      <c r="C178" s="4" t="n"/>
      <c r="D178" s="4" t="n"/>
      <c r="E178" s="4" t="n"/>
      <c r="F178" s="16" t="n"/>
      <c r="G178" s="4" t="n"/>
      <c r="H178" s="4" t="n"/>
      <c r="I178" s="4" t="n"/>
      <c r="J178" s="4" t="n"/>
    </row>
    <row r="179">
      <c r="A179" s="14">
        <f>IF(F179&lt;&gt;"",ROW()-4,"")</f>
        <v/>
      </c>
      <c r="B179" s="15" t="n"/>
      <c r="C179" s="4" t="n"/>
      <c r="D179" s="4" t="n"/>
      <c r="E179" s="4" t="n"/>
      <c r="F179" s="16" t="n"/>
      <c r="G179" s="4" t="n"/>
      <c r="H179" s="4" t="n"/>
      <c r="I179" s="4" t="n"/>
      <c r="J179" s="4" t="n"/>
    </row>
    <row r="180">
      <c r="A180" s="18">
        <f>IF(F180&lt;&gt;"",ROW()-4,"")</f>
        <v/>
      </c>
      <c r="B180" s="15" t="n"/>
      <c r="C180" s="4" t="n"/>
      <c r="D180" s="4" t="n"/>
      <c r="E180" s="4" t="n"/>
      <c r="F180" s="16" t="n"/>
      <c r="G180" s="4" t="n"/>
      <c r="H180" s="4" t="n"/>
      <c r="I180" s="4" t="n"/>
      <c r="J180" s="4" t="n"/>
    </row>
    <row r="181">
      <c r="A181" s="14">
        <f>IF(F181&lt;&gt;"",ROW()-4,"")</f>
        <v/>
      </c>
      <c r="B181" s="15" t="n"/>
      <c r="C181" s="4" t="n"/>
      <c r="D181" s="4" t="n"/>
      <c r="E181" s="4" t="n"/>
      <c r="F181" s="16" t="n"/>
      <c r="G181" s="4" t="n"/>
      <c r="H181" s="4" t="n"/>
      <c r="I181" s="4" t="n"/>
      <c r="J181" s="4" t="n"/>
    </row>
    <row r="182">
      <c r="A182" s="18">
        <f>IF(F182&lt;&gt;"",ROW()-4,"")</f>
        <v/>
      </c>
      <c r="B182" s="15" t="n"/>
      <c r="C182" s="4" t="n"/>
      <c r="D182" s="4" t="n"/>
      <c r="E182" s="4" t="n"/>
      <c r="F182" s="16" t="n"/>
      <c r="G182" s="4" t="n"/>
      <c r="H182" s="4" t="n"/>
      <c r="I182" s="4" t="n"/>
      <c r="J182" s="4" t="n"/>
    </row>
    <row r="183">
      <c r="A183" s="14">
        <f>IF(F183&lt;&gt;"",ROW()-4,"")</f>
        <v/>
      </c>
      <c r="B183" s="15" t="n"/>
      <c r="C183" s="4" t="n"/>
      <c r="D183" s="4" t="n"/>
      <c r="E183" s="4" t="n"/>
      <c r="F183" s="16" t="n"/>
      <c r="G183" s="4" t="n"/>
      <c r="H183" s="4" t="n"/>
      <c r="I183" s="4" t="n"/>
      <c r="J183" s="4" t="n"/>
    </row>
    <row r="184">
      <c r="A184" s="18">
        <f>IF(F184&lt;&gt;"",ROW()-4,"")</f>
        <v/>
      </c>
      <c r="B184" s="15" t="n"/>
      <c r="C184" s="4" t="n"/>
      <c r="D184" s="4" t="n"/>
      <c r="E184" s="4" t="n"/>
      <c r="F184" s="16" t="n"/>
      <c r="G184" s="4" t="n"/>
      <c r="H184" s="4" t="n"/>
      <c r="I184" s="4" t="n"/>
      <c r="J184" s="4" t="n"/>
    </row>
    <row r="185">
      <c r="A185" s="14">
        <f>IF(F185&lt;&gt;"",ROW()-4,"")</f>
        <v/>
      </c>
      <c r="B185" s="15" t="n"/>
      <c r="C185" s="4" t="n"/>
      <c r="D185" s="4" t="n"/>
      <c r="E185" s="4" t="n"/>
      <c r="F185" s="16" t="n"/>
      <c r="G185" s="4" t="n"/>
      <c r="H185" s="4" t="n"/>
      <c r="I185" s="4" t="n"/>
      <c r="J185" s="4" t="n"/>
    </row>
    <row r="186">
      <c r="A186" s="18">
        <f>IF(F186&lt;&gt;"",ROW()-4,"")</f>
        <v/>
      </c>
      <c r="B186" s="15" t="n"/>
      <c r="C186" s="4" t="n"/>
      <c r="D186" s="4" t="n"/>
      <c r="E186" s="4" t="n"/>
      <c r="F186" s="16" t="n"/>
      <c r="G186" s="4" t="n"/>
      <c r="H186" s="4" t="n"/>
      <c r="I186" s="4" t="n"/>
      <c r="J186" s="4" t="n"/>
    </row>
    <row r="187">
      <c r="A187" s="14">
        <f>IF(F187&lt;&gt;"",ROW()-4,"")</f>
        <v/>
      </c>
      <c r="B187" s="15" t="n"/>
      <c r="C187" s="4" t="n"/>
      <c r="D187" s="4" t="n"/>
      <c r="E187" s="4" t="n"/>
      <c r="F187" s="16" t="n"/>
      <c r="G187" s="4" t="n"/>
      <c r="H187" s="4" t="n"/>
      <c r="I187" s="4" t="n"/>
      <c r="J187" s="4" t="n"/>
    </row>
    <row r="188">
      <c r="A188" s="18">
        <f>IF(F188&lt;&gt;"",ROW()-4,"")</f>
        <v/>
      </c>
      <c r="B188" s="15" t="n"/>
      <c r="C188" s="4" t="n"/>
      <c r="D188" s="4" t="n"/>
      <c r="E188" s="4" t="n"/>
      <c r="F188" s="16" t="n"/>
      <c r="G188" s="4" t="n"/>
      <c r="H188" s="4" t="n"/>
      <c r="I188" s="4" t="n"/>
      <c r="J188" s="4" t="n"/>
    </row>
    <row r="189">
      <c r="A189" s="14">
        <f>IF(F189&lt;&gt;"",ROW()-4,"")</f>
        <v/>
      </c>
      <c r="B189" s="15" t="n"/>
      <c r="C189" s="4" t="n"/>
      <c r="D189" s="4" t="n"/>
      <c r="E189" s="4" t="n"/>
      <c r="F189" s="16" t="n"/>
      <c r="G189" s="4" t="n"/>
      <c r="H189" s="4" t="n"/>
      <c r="I189" s="4" t="n"/>
      <c r="J189" s="4" t="n"/>
    </row>
    <row r="190">
      <c r="A190" s="18">
        <f>IF(F190&lt;&gt;"",ROW()-4,"")</f>
        <v/>
      </c>
      <c r="B190" s="15" t="n"/>
      <c r="C190" s="4" t="n"/>
      <c r="D190" s="4" t="n"/>
      <c r="E190" s="4" t="n"/>
      <c r="F190" s="16" t="n"/>
      <c r="G190" s="4" t="n"/>
      <c r="H190" s="4" t="n"/>
      <c r="I190" s="4" t="n"/>
      <c r="J190" s="4" t="n"/>
    </row>
    <row r="191">
      <c r="A191" s="14">
        <f>IF(F191&lt;&gt;"",ROW()-4,"")</f>
        <v/>
      </c>
      <c r="B191" s="15" t="n"/>
      <c r="C191" s="4" t="n"/>
      <c r="D191" s="4" t="n"/>
      <c r="E191" s="4" t="n"/>
      <c r="F191" s="16" t="n"/>
      <c r="G191" s="4" t="n"/>
      <c r="H191" s="4" t="n"/>
      <c r="I191" s="4" t="n"/>
      <c r="J191" s="4" t="n"/>
    </row>
    <row r="192">
      <c r="A192" s="18">
        <f>IF(F192&lt;&gt;"",ROW()-4,"")</f>
        <v/>
      </c>
      <c r="B192" s="15" t="n"/>
      <c r="C192" s="4" t="n"/>
      <c r="D192" s="4" t="n"/>
      <c r="E192" s="4" t="n"/>
      <c r="F192" s="16" t="n"/>
      <c r="G192" s="4" t="n"/>
      <c r="H192" s="4" t="n"/>
      <c r="I192" s="4" t="n"/>
      <c r="J192" s="4" t="n"/>
    </row>
    <row r="193">
      <c r="A193" s="14">
        <f>IF(F193&lt;&gt;"",ROW()-4,"")</f>
        <v/>
      </c>
      <c r="B193" s="15" t="n"/>
      <c r="C193" s="4" t="n"/>
      <c r="D193" s="4" t="n"/>
      <c r="E193" s="4" t="n"/>
      <c r="F193" s="16" t="n"/>
      <c r="G193" s="4" t="n"/>
      <c r="H193" s="4" t="n"/>
      <c r="I193" s="4" t="n"/>
      <c r="J193" s="4" t="n"/>
    </row>
    <row r="194">
      <c r="A194" s="18">
        <f>IF(F194&lt;&gt;"",ROW()-4,"")</f>
        <v/>
      </c>
      <c r="B194" s="15" t="n"/>
      <c r="C194" s="4" t="n"/>
      <c r="D194" s="4" t="n"/>
      <c r="E194" s="4" t="n"/>
      <c r="F194" s="16" t="n"/>
      <c r="G194" s="4" t="n"/>
      <c r="H194" s="4" t="n"/>
      <c r="I194" s="4" t="n"/>
      <c r="J194" s="4" t="n"/>
    </row>
    <row r="195">
      <c r="A195" s="14">
        <f>IF(F195&lt;&gt;"",ROW()-4,"")</f>
        <v/>
      </c>
      <c r="B195" s="15" t="n"/>
      <c r="C195" s="4" t="n"/>
      <c r="D195" s="4" t="n"/>
      <c r="E195" s="4" t="n"/>
      <c r="F195" s="16" t="n"/>
      <c r="G195" s="4" t="n"/>
      <c r="H195" s="4" t="n"/>
      <c r="I195" s="4" t="n"/>
      <c r="J195" s="4" t="n"/>
    </row>
    <row r="196">
      <c r="A196" s="18">
        <f>IF(F196&lt;&gt;"",ROW()-4,"")</f>
        <v/>
      </c>
      <c r="B196" s="15" t="n"/>
      <c r="C196" s="4" t="n"/>
      <c r="D196" s="4" t="n"/>
      <c r="E196" s="4" t="n"/>
      <c r="F196" s="16" t="n"/>
      <c r="G196" s="4" t="n"/>
      <c r="H196" s="4" t="n"/>
      <c r="I196" s="4" t="n"/>
      <c r="J196" s="4" t="n"/>
    </row>
    <row r="197">
      <c r="A197" s="14">
        <f>IF(F197&lt;&gt;"",ROW()-4,"")</f>
        <v/>
      </c>
      <c r="B197" s="15" t="n"/>
      <c r="C197" s="4" t="n"/>
      <c r="D197" s="4" t="n"/>
      <c r="E197" s="4" t="n"/>
      <c r="F197" s="16" t="n"/>
      <c r="G197" s="4" t="n"/>
      <c r="H197" s="4" t="n"/>
      <c r="I197" s="4" t="n"/>
      <c r="J197" s="4" t="n"/>
    </row>
    <row r="198">
      <c r="A198" s="18">
        <f>IF(F198&lt;&gt;"",ROW()-4,"")</f>
        <v/>
      </c>
      <c r="B198" s="15" t="n"/>
      <c r="C198" s="4" t="n"/>
      <c r="D198" s="4" t="n"/>
      <c r="E198" s="4" t="n"/>
      <c r="F198" s="16" t="n"/>
      <c r="G198" s="4" t="n"/>
      <c r="H198" s="4" t="n"/>
      <c r="I198" s="4" t="n"/>
      <c r="J198" s="4" t="n"/>
    </row>
    <row r="199">
      <c r="A199" s="14">
        <f>IF(F199&lt;&gt;"",ROW()-4,"")</f>
        <v/>
      </c>
      <c r="B199" s="15" t="n"/>
      <c r="C199" s="4" t="n"/>
      <c r="D199" s="4" t="n"/>
      <c r="E199" s="4" t="n"/>
      <c r="F199" s="16" t="n"/>
      <c r="G199" s="4" t="n"/>
      <c r="H199" s="4" t="n"/>
      <c r="I199" s="4" t="n"/>
      <c r="J199" s="4" t="n"/>
    </row>
    <row r="200">
      <c r="A200" s="18">
        <f>IF(F200&lt;&gt;"",ROW()-4,"")</f>
        <v/>
      </c>
      <c r="B200" s="15" t="n"/>
      <c r="C200" s="4" t="n"/>
      <c r="D200" s="4" t="n"/>
      <c r="E200" s="4" t="n"/>
      <c r="F200" s="16" t="n"/>
      <c r="G200" s="4" t="n"/>
      <c r="H200" s="4" t="n"/>
      <c r="I200" s="4" t="n"/>
      <c r="J200" s="4" t="n"/>
    </row>
    <row r="201">
      <c r="A201" s="14">
        <f>IF(F201&lt;&gt;"",ROW()-4,"")</f>
        <v/>
      </c>
      <c r="B201" s="15" t="n"/>
      <c r="C201" s="4" t="n"/>
      <c r="D201" s="4" t="n"/>
      <c r="E201" s="4" t="n"/>
      <c r="F201" s="16" t="n"/>
      <c r="G201" s="4" t="n"/>
      <c r="H201" s="4" t="n"/>
      <c r="I201" s="4" t="n"/>
      <c r="J201" s="4" t="n"/>
    </row>
    <row r="202">
      <c r="A202" s="18">
        <f>IF(F202&lt;&gt;"",ROW()-4,"")</f>
        <v/>
      </c>
      <c r="B202" s="15" t="n"/>
      <c r="C202" s="4" t="n"/>
      <c r="D202" s="4" t="n"/>
      <c r="E202" s="4" t="n"/>
      <c r="F202" s="16" t="n"/>
      <c r="G202" s="4" t="n"/>
      <c r="H202" s="4" t="n"/>
      <c r="I202" s="4" t="n"/>
      <c r="J202" s="4" t="n"/>
    </row>
    <row r="203">
      <c r="A203" s="14">
        <f>IF(F203&lt;&gt;"",ROW()-4,"")</f>
        <v/>
      </c>
      <c r="B203" s="15" t="n"/>
      <c r="C203" s="4" t="n"/>
      <c r="D203" s="4" t="n"/>
      <c r="E203" s="4" t="n"/>
      <c r="F203" s="16" t="n"/>
      <c r="G203" s="4" t="n"/>
      <c r="H203" s="4" t="n"/>
      <c r="I203" s="4" t="n"/>
      <c r="J203" s="4" t="n"/>
    </row>
    <row r="204">
      <c r="A204" s="18">
        <f>IF(F204&lt;&gt;"",ROW()-4,"")</f>
        <v/>
      </c>
      <c r="B204" s="15" t="n"/>
      <c r="C204" s="4" t="n"/>
      <c r="D204" s="4" t="n"/>
      <c r="E204" s="4" t="n"/>
      <c r="F204" s="16" t="n"/>
      <c r="G204" s="4" t="n"/>
      <c r="H204" s="4" t="n"/>
      <c r="I204" s="4" t="n"/>
      <c r="J204" s="4" t="n"/>
    </row>
    <row r="205">
      <c r="A205" s="14">
        <f>IF(F205&lt;&gt;"",ROW()-4,"")</f>
        <v/>
      </c>
      <c r="B205" s="15" t="n"/>
      <c r="C205" s="4" t="n"/>
      <c r="D205" s="4" t="n"/>
      <c r="E205" s="4" t="n"/>
      <c r="F205" s="16" t="n"/>
      <c r="G205" s="4" t="n"/>
      <c r="H205" s="4" t="n"/>
      <c r="I205" s="4" t="n"/>
      <c r="J205" s="4" t="n"/>
    </row>
    <row r="206">
      <c r="A206" s="18">
        <f>IF(F206&lt;&gt;"",ROW()-4,"")</f>
        <v/>
      </c>
      <c r="B206" s="15" t="n"/>
      <c r="C206" s="4" t="n"/>
      <c r="D206" s="4" t="n"/>
      <c r="E206" s="4" t="n"/>
      <c r="F206" s="16" t="n"/>
      <c r="G206" s="4" t="n"/>
      <c r="H206" s="4" t="n"/>
      <c r="I206" s="4" t="n"/>
      <c r="J206" s="4" t="n"/>
    </row>
    <row r="207">
      <c r="A207" s="14">
        <f>IF(F207&lt;&gt;"",ROW()-4,"")</f>
        <v/>
      </c>
      <c r="B207" s="15" t="n"/>
      <c r="C207" s="4" t="n"/>
      <c r="D207" s="4" t="n"/>
      <c r="E207" s="4" t="n"/>
      <c r="F207" s="16" t="n"/>
      <c r="G207" s="4" t="n"/>
      <c r="H207" s="4" t="n"/>
      <c r="I207" s="4" t="n"/>
      <c r="J207" s="4" t="n"/>
    </row>
    <row r="208">
      <c r="A208" s="18">
        <f>IF(F208&lt;&gt;"",ROW()-4,"")</f>
        <v/>
      </c>
      <c r="B208" s="15" t="n"/>
      <c r="C208" s="4" t="n"/>
      <c r="D208" s="4" t="n"/>
      <c r="E208" s="4" t="n"/>
      <c r="F208" s="16" t="n"/>
      <c r="G208" s="4" t="n"/>
      <c r="H208" s="4" t="n"/>
      <c r="I208" s="4" t="n"/>
      <c r="J208" s="4" t="n"/>
    </row>
    <row r="209">
      <c r="A209" s="14">
        <f>IF(F209&lt;&gt;"",ROW()-4,"")</f>
        <v/>
      </c>
      <c r="B209" s="15" t="n"/>
      <c r="C209" s="4" t="n"/>
      <c r="D209" s="4" t="n"/>
      <c r="E209" s="4" t="n"/>
      <c r="F209" s="16" t="n"/>
      <c r="G209" s="4" t="n"/>
      <c r="H209" s="4" t="n"/>
      <c r="I209" s="4" t="n"/>
      <c r="J209" s="4" t="n"/>
    </row>
    <row r="210">
      <c r="A210" s="18">
        <f>IF(F210&lt;&gt;"",ROW()-4,"")</f>
        <v/>
      </c>
      <c r="B210" s="15" t="n"/>
      <c r="C210" s="4" t="n"/>
      <c r="D210" s="4" t="n"/>
      <c r="E210" s="4" t="n"/>
      <c r="F210" s="16" t="n"/>
      <c r="G210" s="4" t="n"/>
      <c r="H210" s="4" t="n"/>
      <c r="I210" s="4" t="n"/>
      <c r="J210" s="4" t="n"/>
    </row>
    <row r="211">
      <c r="A211" s="14">
        <f>IF(F211&lt;&gt;"",ROW()-4,"")</f>
        <v/>
      </c>
      <c r="B211" s="15" t="n"/>
      <c r="C211" s="4" t="n"/>
      <c r="D211" s="4" t="n"/>
      <c r="E211" s="4" t="n"/>
      <c r="F211" s="16" t="n"/>
      <c r="G211" s="4" t="n"/>
      <c r="H211" s="4" t="n"/>
      <c r="I211" s="4" t="n"/>
      <c r="J211" s="4" t="n"/>
    </row>
    <row r="212">
      <c r="A212" s="18">
        <f>IF(F212&lt;&gt;"",ROW()-4,"")</f>
        <v/>
      </c>
      <c r="B212" s="15" t="n"/>
      <c r="C212" s="4" t="n"/>
      <c r="D212" s="4" t="n"/>
      <c r="E212" s="4" t="n"/>
      <c r="F212" s="16" t="n"/>
      <c r="G212" s="4" t="n"/>
      <c r="H212" s="4" t="n"/>
      <c r="I212" s="4" t="n"/>
      <c r="J212" s="4" t="n"/>
    </row>
    <row r="213">
      <c r="A213" s="14">
        <f>IF(F213&lt;&gt;"",ROW()-4,"")</f>
        <v/>
      </c>
      <c r="B213" s="15" t="n"/>
      <c r="C213" s="4" t="n"/>
      <c r="D213" s="4" t="n"/>
      <c r="E213" s="4" t="n"/>
      <c r="F213" s="16" t="n"/>
      <c r="G213" s="4" t="n"/>
      <c r="H213" s="4" t="n"/>
      <c r="I213" s="4" t="n"/>
      <c r="J213" s="4" t="n"/>
    </row>
    <row r="214">
      <c r="A214" s="18">
        <f>IF(F214&lt;&gt;"",ROW()-4,"")</f>
        <v/>
      </c>
      <c r="B214" s="15" t="n"/>
      <c r="C214" s="4" t="n"/>
      <c r="D214" s="4" t="n"/>
      <c r="E214" s="4" t="n"/>
      <c r="F214" s="16" t="n"/>
      <c r="G214" s="4" t="n"/>
      <c r="H214" s="4" t="n"/>
      <c r="I214" s="4" t="n"/>
      <c r="J214" s="4" t="n"/>
    </row>
    <row r="215">
      <c r="A215" s="14">
        <f>IF(F215&lt;&gt;"",ROW()-4,"")</f>
        <v/>
      </c>
      <c r="B215" s="15" t="n"/>
      <c r="C215" s="4" t="n"/>
      <c r="D215" s="4" t="n"/>
      <c r="E215" s="4" t="n"/>
      <c r="F215" s="16" t="n"/>
      <c r="G215" s="4" t="n"/>
      <c r="H215" s="4" t="n"/>
      <c r="I215" s="4" t="n"/>
      <c r="J215" s="4" t="n"/>
    </row>
    <row r="216">
      <c r="A216" s="18">
        <f>IF(F216&lt;&gt;"",ROW()-4,"")</f>
        <v/>
      </c>
      <c r="B216" s="15" t="n"/>
      <c r="C216" s="4" t="n"/>
      <c r="D216" s="4" t="n"/>
      <c r="E216" s="4" t="n"/>
      <c r="F216" s="16" t="n"/>
      <c r="G216" s="4" t="n"/>
      <c r="H216" s="4" t="n"/>
      <c r="I216" s="4" t="n"/>
      <c r="J216" s="4" t="n"/>
    </row>
    <row r="217">
      <c r="A217" s="14">
        <f>IF(F217&lt;&gt;"",ROW()-4,"")</f>
        <v/>
      </c>
      <c r="B217" s="15" t="n"/>
      <c r="C217" s="4" t="n"/>
      <c r="D217" s="4" t="n"/>
      <c r="E217" s="4" t="n"/>
      <c r="F217" s="16" t="n"/>
      <c r="G217" s="4" t="n"/>
      <c r="H217" s="4" t="n"/>
      <c r="I217" s="4" t="n"/>
      <c r="J217" s="4" t="n"/>
    </row>
    <row r="218">
      <c r="A218" s="18">
        <f>IF(F218&lt;&gt;"",ROW()-4,"")</f>
        <v/>
      </c>
      <c r="B218" s="15" t="n"/>
      <c r="C218" s="4" t="n"/>
      <c r="D218" s="4" t="n"/>
      <c r="E218" s="4" t="n"/>
      <c r="F218" s="16" t="n"/>
      <c r="G218" s="4" t="n"/>
      <c r="H218" s="4" t="n"/>
      <c r="I218" s="4" t="n"/>
      <c r="J218" s="4" t="n"/>
    </row>
    <row r="219">
      <c r="A219" s="14">
        <f>IF(F219&lt;&gt;"",ROW()-4,"")</f>
        <v/>
      </c>
      <c r="B219" s="15" t="n"/>
      <c r="C219" s="4" t="n"/>
      <c r="D219" s="4" t="n"/>
      <c r="E219" s="4" t="n"/>
      <c r="F219" s="16" t="n"/>
      <c r="G219" s="4" t="n"/>
      <c r="H219" s="4" t="n"/>
      <c r="I219" s="4" t="n"/>
      <c r="J219" s="4" t="n"/>
    </row>
    <row r="220">
      <c r="A220" s="18">
        <f>IF(F220&lt;&gt;"",ROW()-4,"")</f>
        <v/>
      </c>
      <c r="B220" s="15" t="n"/>
      <c r="C220" s="4" t="n"/>
      <c r="D220" s="4" t="n"/>
      <c r="E220" s="4" t="n"/>
      <c r="F220" s="16" t="n"/>
      <c r="G220" s="4" t="n"/>
      <c r="H220" s="4" t="n"/>
      <c r="I220" s="4" t="n"/>
      <c r="J220" s="4" t="n"/>
    </row>
    <row r="221">
      <c r="A221" s="14">
        <f>IF(F221&lt;&gt;"",ROW()-4,"")</f>
        <v/>
      </c>
      <c r="B221" s="15" t="n"/>
      <c r="C221" s="4" t="n"/>
      <c r="D221" s="4" t="n"/>
      <c r="E221" s="4" t="n"/>
      <c r="F221" s="16" t="n"/>
      <c r="G221" s="4" t="n"/>
      <c r="H221" s="4" t="n"/>
      <c r="I221" s="4" t="n"/>
      <c r="J221" s="4" t="n"/>
    </row>
    <row r="222">
      <c r="A222" s="18">
        <f>IF(F222&lt;&gt;"",ROW()-4,"")</f>
        <v/>
      </c>
      <c r="B222" s="15" t="n"/>
      <c r="C222" s="4" t="n"/>
      <c r="D222" s="4" t="n"/>
      <c r="E222" s="4" t="n"/>
      <c r="F222" s="16" t="n"/>
      <c r="G222" s="4" t="n"/>
      <c r="H222" s="4" t="n"/>
      <c r="I222" s="4" t="n"/>
      <c r="J222" s="4" t="n"/>
    </row>
    <row r="223">
      <c r="A223" s="14">
        <f>IF(F223&lt;&gt;"",ROW()-4,"")</f>
        <v/>
      </c>
      <c r="B223" s="15" t="n"/>
      <c r="C223" s="4" t="n"/>
      <c r="D223" s="4" t="n"/>
      <c r="E223" s="4" t="n"/>
      <c r="F223" s="16" t="n"/>
      <c r="G223" s="4" t="n"/>
      <c r="H223" s="4" t="n"/>
      <c r="I223" s="4" t="n"/>
      <c r="J223" s="4" t="n"/>
    </row>
    <row r="224">
      <c r="A224" s="18">
        <f>IF(F224&lt;&gt;"",ROW()-4,"")</f>
        <v/>
      </c>
      <c r="B224" s="15" t="n"/>
      <c r="C224" s="4" t="n"/>
      <c r="D224" s="4" t="n"/>
      <c r="E224" s="4" t="n"/>
      <c r="F224" s="16" t="n"/>
      <c r="G224" s="4" t="n"/>
      <c r="H224" s="4" t="n"/>
      <c r="I224" s="4" t="n"/>
      <c r="J224" s="4" t="n"/>
    </row>
    <row r="225">
      <c r="A225" s="14">
        <f>IF(F225&lt;&gt;"",ROW()-4,"")</f>
        <v/>
      </c>
      <c r="B225" s="15" t="n"/>
      <c r="C225" s="4" t="n"/>
      <c r="D225" s="4" t="n"/>
      <c r="E225" s="4" t="n"/>
      <c r="F225" s="16" t="n"/>
      <c r="G225" s="4" t="n"/>
      <c r="H225" s="4" t="n"/>
      <c r="I225" s="4" t="n"/>
      <c r="J225" s="4" t="n"/>
    </row>
    <row r="226">
      <c r="A226" s="18">
        <f>IF(F226&lt;&gt;"",ROW()-4,"")</f>
        <v/>
      </c>
      <c r="B226" s="15" t="n"/>
      <c r="C226" s="4" t="n"/>
      <c r="D226" s="4" t="n"/>
      <c r="E226" s="4" t="n"/>
      <c r="F226" s="16" t="n"/>
      <c r="G226" s="4" t="n"/>
      <c r="H226" s="4" t="n"/>
      <c r="I226" s="4" t="n"/>
      <c r="J226" s="4" t="n"/>
    </row>
    <row r="227">
      <c r="A227" s="14">
        <f>IF(F227&lt;&gt;"",ROW()-4,"")</f>
        <v/>
      </c>
      <c r="B227" s="15" t="n"/>
      <c r="C227" s="4" t="n"/>
      <c r="D227" s="4" t="n"/>
      <c r="E227" s="4" t="n"/>
      <c r="F227" s="16" t="n"/>
      <c r="G227" s="4" t="n"/>
      <c r="H227" s="4" t="n"/>
      <c r="I227" s="4" t="n"/>
      <c r="J227" s="4" t="n"/>
    </row>
    <row r="228">
      <c r="A228" s="18">
        <f>IF(F228&lt;&gt;"",ROW()-4,"")</f>
        <v/>
      </c>
      <c r="B228" s="15" t="n"/>
      <c r="C228" s="4" t="n"/>
      <c r="D228" s="4" t="n"/>
      <c r="E228" s="4" t="n"/>
      <c r="F228" s="16" t="n"/>
      <c r="G228" s="4" t="n"/>
      <c r="H228" s="4" t="n"/>
      <c r="I228" s="4" t="n"/>
      <c r="J228" s="4" t="n"/>
    </row>
    <row r="229">
      <c r="A229" s="14">
        <f>IF(F229&lt;&gt;"",ROW()-4,"")</f>
        <v/>
      </c>
      <c r="B229" s="15" t="n"/>
      <c r="C229" s="4" t="n"/>
      <c r="D229" s="4" t="n"/>
      <c r="E229" s="4" t="n"/>
      <c r="F229" s="16" t="n"/>
      <c r="G229" s="4" t="n"/>
      <c r="H229" s="4" t="n"/>
      <c r="I229" s="4" t="n"/>
      <c r="J229" s="4" t="n"/>
    </row>
    <row r="230">
      <c r="A230" s="18">
        <f>IF(F230&lt;&gt;"",ROW()-4,"")</f>
        <v/>
      </c>
      <c r="B230" s="15" t="n"/>
      <c r="C230" s="4" t="n"/>
      <c r="D230" s="4" t="n"/>
      <c r="E230" s="4" t="n"/>
      <c r="F230" s="16" t="n"/>
      <c r="G230" s="4" t="n"/>
      <c r="H230" s="4" t="n"/>
      <c r="I230" s="4" t="n"/>
      <c r="J230" s="4" t="n"/>
    </row>
    <row r="231">
      <c r="A231" s="14">
        <f>IF(F231&lt;&gt;"",ROW()-4,"")</f>
        <v/>
      </c>
      <c r="B231" s="15" t="n"/>
      <c r="C231" s="4" t="n"/>
      <c r="D231" s="4" t="n"/>
      <c r="E231" s="4" t="n"/>
      <c r="F231" s="16" t="n"/>
      <c r="G231" s="4" t="n"/>
      <c r="H231" s="4" t="n"/>
      <c r="I231" s="4" t="n"/>
      <c r="J231" s="4" t="n"/>
    </row>
    <row r="232">
      <c r="A232" s="18">
        <f>IF(F232&lt;&gt;"",ROW()-4,"")</f>
        <v/>
      </c>
      <c r="B232" s="15" t="n"/>
      <c r="C232" s="4" t="n"/>
      <c r="D232" s="4" t="n"/>
      <c r="E232" s="4" t="n"/>
      <c r="F232" s="16" t="n"/>
      <c r="G232" s="4" t="n"/>
      <c r="H232" s="4" t="n"/>
      <c r="I232" s="4" t="n"/>
      <c r="J232" s="4" t="n"/>
    </row>
    <row r="233">
      <c r="A233" s="14">
        <f>IF(F233&lt;&gt;"",ROW()-4,"")</f>
        <v/>
      </c>
      <c r="B233" s="15" t="n"/>
      <c r="C233" s="4" t="n"/>
      <c r="D233" s="4" t="n"/>
      <c r="E233" s="4" t="n"/>
      <c r="F233" s="16" t="n"/>
      <c r="G233" s="4" t="n"/>
      <c r="H233" s="4" t="n"/>
      <c r="I233" s="4" t="n"/>
      <c r="J233" s="4" t="n"/>
    </row>
    <row r="234">
      <c r="A234" s="18">
        <f>IF(F234&lt;&gt;"",ROW()-4,"")</f>
        <v/>
      </c>
      <c r="B234" s="15" t="n"/>
      <c r="C234" s="4" t="n"/>
      <c r="D234" s="4" t="n"/>
      <c r="E234" s="4" t="n"/>
      <c r="F234" s="16" t="n"/>
      <c r="G234" s="4" t="n"/>
      <c r="H234" s="4" t="n"/>
      <c r="I234" s="4" t="n"/>
      <c r="J234" s="4" t="n"/>
    </row>
    <row r="235">
      <c r="A235" s="14">
        <f>IF(F235&lt;&gt;"",ROW()-4,"")</f>
        <v/>
      </c>
      <c r="B235" s="15" t="n"/>
      <c r="C235" s="4" t="n"/>
      <c r="D235" s="4" t="n"/>
      <c r="E235" s="4" t="n"/>
      <c r="F235" s="16" t="n"/>
      <c r="G235" s="4" t="n"/>
      <c r="H235" s="4" t="n"/>
      <c r="I235" s="4" t="n"/>
      <c r="J235" s="4" t="n"/>
    </row>
    <row r="236">
      <c r="A236" s="18">
        <f>IF(F236&lt;&gt;"",ROW()-4,"")</f>
        <v/>
      </c>
      <c r="B236" s="15" t="n"/>
      <c r="C236" s="4" t="n"/>
      <c r="D236" s="4" t="n"/>
      <c r="E236" s="4" t="n"/>
      <c r="F236" s="16" t="n"/>
      <c r="G236" s="4" t="n"/>
      <c r="H236" s="4" t="n"/>
      <c r="I236" s="4" t="n"/>
      <c r="J236" s="4" t="n"/>
    </row>
    <row r="237">
      <c r="A237" s="14">
        <f>IF(F237&lt;&gt;"",ROW()-4,"")</f>
        <v/>
      </c>
      <c r="B237" s="15" t="n"/>
      <c r="C237" s="4" t="n"/>
      <c r="D237" s="4" t="n"/>
      <c r="E237" s="4" t="n"/>
      <c r="F237" s="16" t="n"/>
      <c r="G237" s="4" t="n"/>
      <c r="H237" s="4" t="n"/>
      <c r="I237" s="4" t="n"/>
      <c r="J237" s="4" t="n"/>
    </row>
    <row r="238">
      <c r="A238" s="18">
        <f>IF(F238&lt;&gt;"",ROW()-4,"")</f>
        <v/>
      </c>
      <c r="B238" s="15" t="n"/>
      <c r="C238" s="4" t="n"/>
      <c r="D238" s="4" t="n"/>
      <c r="E238" s="4" t="n"/>
      <c r="F238" s="16" t="n"/>
      <c r="G238" s="4" t="n"/>
      <c r="H238" s="4" t="n"/>
      <c r="I238" s="4" t="n"/>
      <c r="J238" s="4" t="n"/>
    </row>
    <row r="239">
      <c r="A239" s="14">
        <f>IF(F239&lt;&gt;"",ROW()-4,"")</f>
        <v/>
      </c>
      <c r="B239" s="15" t="n"/>
      <c r="C239" s="4" t="n"/>
      <c r="D239" s="4" t="n"/>
      <c r="E239" s="4" t="n"/>
      <c r="F239" s="16" t="n"/>
      <c r="G239" s="4" t="n"/>
      <c r="H239" s="4" t="n"/>
      <c r="I239" s="4" t="n"/>
      <c r="J239" s="4" t="n"/>
    </row>
    <row r="240">
      <c r="A240" s="18">
        <f>IF(F240&lt;&gt;"",ROW()-4,"")</f>
        <v/>
      </c>
      <c r="B240" s="15" t="n"/>
      <c r="C240" s="4" t="n"/>
      <c r="D240" s="4" t="n"/>
      <c r="E240" s="4" t="n"/>
      <c r="F240" s="16" t="n"/>
      <c r="G240" s="4" t="n"/>
      <c r="H240" s="4" t="n"/>
      <c r="I240" s="4" t="n"/>
      <c r="J240" s="4" t="n"/>
    </row>
    <row r="241">
      <c r="A241" s="14">
        <f>IF(F241&lt;&gt;"",ROW()-4,"")</f>
        <v/>
      </c>
      <c r="B241" s="15" t="n"/>
      <c r="C241" s="4" t="n"/>
      <c r="D241" s="4" t="n"/>
      <c r="E241" s="4" t="n"/>
      <c r="F241" s="16" t="n"/>
      <c r="G241" s="4" t="n"/>
      <c r="H241" s="4" t="n"/>
      <c r="I241" s="4" t="n"/>
      <c r="J241" s="4" t="n"/>
    </row>
    <row r="242">
      <c r="A242" s="18">
        <f>IF(F242&lt;&gt;"",ROW()-4,"")</f>
        <v/>
      </c>
      <c r="B242" s="15" t="n"/>
      <c r="C242" s="4" t="n"/>
      <c r="D242" s="4" t="n"/>
      <c r="E242" s="4" t="n"/>
      <c r="F242" s="16" t="n"/>
      <c r="G242" s="4" t="n"/>
      <c r="H242" s="4" t="n"/>
      <c r="I242" s="4" t="n"/>
      <c r="J242" s="4" t="n"/>
    </row>
    <row r="243">
      <c r="A243" s="14">
        <f>IF(F243&lt;&gt;"",ROW()-4,"")</f>
        <v/>
      </c>
      <c r="B243" s="15" t="n"/>
      <c r="C243" s="4" t="n"/>
      <c r="D243" s="4" t="n"/>
      <c r="E243" s="4" t="n"/>
      <c r="F243" s="16" t="n"/>
      <c r="G243" s="4" t="n"/>
      <c r="H243" s="4" t="n"/>
      <c r="I243" s="4" t="n"/>
      <c r="J243" s="4" t="n"/>
    </row>
    <row r="244">
      <c r="A244" s="18">
        <f>IF(F244&lt;&gt;"",ROW()-4,"")</f>
        <v/>
      </c>
      <c r="B244" s="15" t="n"/>
      <c r="C244" s="4" t="n"/>
      <c r="D244" s="4" t="n"/>
      <c r="E244" s="4" t="n"/>
      <c r="F244" s="16" t="n"/>
      <c r="G244" s="4" t="n"/>
      <c r="H244" s="4" t="n"/>
      <c r="I244" s="4" t="n"/>
      <c r="J244" s="4" t="n"/>
    </row>
    <row r="245">
      <c r="A245" s="14">
        <f>IF(F245&lt;&gt;"",ROW()-4,"")</f>
        <v/>
      </c>
      <c r="B245" s="15" t="n"/>
      <c r="C245" s="4" t="n"/>
      <c r="D245" s="4" t="n"/>
      <c r="E245" s="4" t="n"/>
      <c r="F245" s="16" t="n"/>
      <c r="G245" s="4" t="n"/>
      <c r="H245" s="4" t="n"/>
      <c r="I245" s="4" t="n"/>
      <c r="J245" s="4" t="n"/>
    </row>
    <row r="246">
      <c r="A246" s="18">
        <f>IF(F246&lt;&gt;"",ROW()-4,"")</f>
        <v/>
      </c>
      <c r="B246" s="15" t="n"/>
      <c r="C246" s="4" t="n"/>
      <c r="D246" s="4" t="n"/>
      <c r="E246" s="4" t="n"/>
      <c r="F246" s="16" t="n"/>
      <c r="G246" s="4" t="n"/>
      <c r="H246" s="4" t="n"/>
      <c r="I246" s="4" t="n"/>
      <c r="J246" s="4" t="n"/>
    </row>
    <row r="247">
      <c r="A247" s="14">
        <f>IF(F247&lt;&gt;"",ROW()-4,"")</f>
        <v/>
      </c>
      <c r="B247" s="15" t="n"/>
      <c r="C247" s="4" t="n"/>
      <c r="D247" s="4" t="n"/>
      <c r="E247" s="4" t="n"/>
      <c r="F247" s="16" t="n"/>
      <c r="G247" s="4" t="n"/>
      <c r="H247" s="4" t="n"/>
      <c r="I247" s="4" t="n"/>
      <c r="J247" s="4" t="n"/>
    </row>
    <row r="248">
      <c r="A248" s="18">
        <f>IF(F248&lt;&gt;"",ROW()-4,"")</f>
        <v/>
      </c>
      <c r="B248" s="15" t="n"/>
      <c r="C248" s="4" t="n"/>
      <c r="D248" s="4" t="n"/>
      <c r="E248" s="4" t="n"/>
      <c r="F248" s="16" t="n"/>
      <c r="G248" s="4" t="n"/>
      <c r="H248" s="4" t="n"/>
      <c r="I248" s="4" t="n"/>
      <c r="J248" s="4" t="n"/>
    </row>
    <row r="249">
      <c r="A249" s="14">
        <f>IF(F249&lt;&gt;"",ROW()-4,"")</f>
        <v/>
      </c>
      <c r="B249" s="15" t="n"/>
      <c r="C249" s="4" t="n"/>
      <c r="D249" s="4" t="n"/>
      <c r="E249" s="4" t="n"/>
      <c r="F249" s="16" t="n"/>
      <c r="G249" s="4" t="n"/>
      <c r="H249" s="4" t="n"/>
      <c r="I249" s="4" t="n"/>
      <c r="J249" s="4" t="n"/>
    </row>
    <row r="250">
      <c r="A250" s="18">
        <f>IF(F250&lt;&gt;"",ROW()-4,"")</f>
        <v/>
      </c>
      <c r="B250" s="15" t="n"/>
      <c r="C250" s="4" t="n"/>
      <c r="D250" s="4" t="n"/>
      <c r="E250" s="4" t="n"/>
      <c r="F250" s="16" t="n"/>
      <c r="G250" s="4" t="n"/>
      <c r="H250" s="4" t="n"/>
      <c r="I250" s="4" t="n"/>
      <c r="J250" s="4" t="n"/>
    </row>
    <row r="251">
      <c r="A251" s="14">
        <f>IF(F251&lt;&gt;"",ROW()-4,"")</f>
        <v/>
      </c>
      <c r="B251" s="15" t="n"/>
      <c r="C251" s="4" t="n"/>
      <c r="D251" s="4" t="n"/>
      <c r="E251" s="4" t="n"/>
      <c r="F251" s="16" t="n"/>
      <c r="G251" s="4" t="n"/>
      <c r="H251" s="4" t="n"/>
      <c r="I251" s="4" t="n"/>
      <c r="J251" s="4" t="n"/>
    </row>
    <row r="252">
      <c r="A252" s="18">
        <f>IF(F252&lt;&gt;"",ROW()-4,"")</f>
        <v/>
      </c>
      <c r="B252" s="15" t="n"/>
      <c r="C252" s="4" t="n"/>
      <c r="D252" s="4" t="n"/>
      <c r="E252" s="4" t="n"/>
      <c r="F252" s="16" t="n"/>
      <c r="G252" s="4" t="n"/>
      <c r="H252" s="4" t="n"/>
      <c r="I252" s="4" t="n"/>
      <c r="J252" s="4" t="n"/>
    </row>
    <row r="253">
      <c r="A253" s="14">
        <f>IF(F253&lt;&gt;"",ROW()-4,"")</f>
        <v/>
      </c>
      <c r="B253" s="15" t="n"/>
      <c r="C253" s="4" t="n"/>
      <c r="D253" s="4" t="n"/>
      <c r="E253" s="4" t="n"/>
      <c r="F253" s="16" t="n"/>
      <c r="G253" s="4" t="n"/>
      <c r="H253" s="4" t="n"/>
      <c r="I253" s="4" t="n"/>
      <c r="J253" s="4" t="n"/>
    </row>
    <row r="254">
      <c r="A254" s="18">
        <f>IF(F254&lt;&gt;"",ROW()-4,"")</f>
        <v/>
      </c>
      <c r="B254" s="15" t="n"/>
      <c r="C254" s="4" t="n"/>
      <c r="D254" s="4" t="n"/>
      <c r="E254" s="4" t="n"/>
      <c r="F254" s="16" t="n"/>
      <c r="G254" s="4" t="n"/>
      <c r="H254" s="4" t="n"/>
      <c r="I254" s="4" t="n"/>
      <c r="J254" s="4" t="n"/>
    </row>
    <row r="255">
      <c r="A255" s="14">
        <f>IF(F255&lt;&gt;"",ROW()-4,"")</f>
        <v/>
      </c>
      <c r="B255" s="15" t="n"/>
      <c r="C255" s="4" t="n"/>
      <c r="D255" s="4" t="n"/>
      <c r="E255" s="4" t="n"/>
      <c r="F255" s="16" t="n"/>
      <c r="G255" s="4" t="n"/>
      <c r="H255" s="4" t="n"/>
      <c r="I255" s="4" t="n"/>
      <c r="J255" s="4" t="n"/>
    </row>
    <row r="256" ht="24" customHeight="1">
      <c r="A256" s="19" t="inlineStr">
        <is>
          <t>TOTAL EXPENSES THIS MONTH</t>
        </is>
      </c>
      <c r="F256" s="11">
        <f>SUM(F5:F255)</f>
        <v/>
      </c>
      <c r="G256" s="12" t="n"/>
      <c r="H256" s="12" t="n"/>
      <c r="I256" s="12" t="n"/>
      <c r="J256" s="12" t="n"/>
    </row>
  </sheetData>
  <mergeCells count="3">
    <mergeCell ref="A1:J1"/>
    <mergeCell ref="A2:J2"/>
    <mergeCell ref="A256:E256"/>
  </mergeCells>
  <conditionalFormatting sqref="A5:J255">
    <cfRule type="expression" priority="1" dxfId="0">
      <formula>$D5="Fixed Bills"</formula>
    </cfRule>
    <cfRule type="expression" priority="2" dxfId="1">
      <formula>$D5="Food &amp; Dining"</formula>
    </cfRule>
    <cfRule type="expression" priority="3" dxfId="2">
      <formula>$D5="Transport &amp; Fuel"</formula>
    </cfRule>
    <cfRule type="expression" priority="4" dxfId="3">
      <formula>$D5="Shopping &amp; Clothing"</formula>
    </cfRule>
    <cfRule type="expression" priority="5" dxfId="4">
      <formula>$D5="Entertainment &amp; OTT"</formula>
    </cfRule>
    <cfRule type="expression" priority="6" dxfId="5">
      <formula>$D5="Groceries"</formula>
    </cfRule>
    <cfRule type="expression" priority="7" dxfId="6">
      <formula>$D5="Investment"</formula>
    </cfRule>
    <cfRule type="expression" priority="8" dxfId="7">
      <formula>$D5="Added to Savings"</formula>
    </cfRule>
    <cfRule type="expression" priority="9" dxfId="8">
      <formula>$D5="Credit Card Payment"</formula>
    </cfRule>
    <cfRule type="expression" priority="10" dxfId="9">
      <formula>$D5="Miscellaneous"</formula>
    </cfRule>
  </conditionalFormatting>
  <dataValidations count="5">
    <dataValidation sqref="D5:D255" showErrorMessage="1" showInputMessage="1" allowBlank="1" errorTitle="Invalid Category" error="Pick a category from the list" type="list">
      <formula1>_Lists!$A$1:$A$10</formula1>
    </dataValidation>
    <dataValidation sqref="E5:E255" showErrorMessage="1" showDropDown="0" showInputMessage="1" allowBlank="1" type="list">
      <formula1>_Lists!$O$1:$O$41</formula1>
    </dataValidation>
    <dataValidation sqref="G5:G255" showErrorMessage="1" showInputMessage="1" allowBlank="1" type="list">
      <formula1>_Lists!$Q$1:$Q$8</formula1>
    </dataValidation>
    <dataValidation sqref="H5:H255" showErrorMessage="1" showInputMessage="1" allowBlank="1" type="list">
      <formula1>Setup!$D$5:$D$9</formula1>
    </dataValidation>
    <dataValidation sqref="I5:I255" showErrorMessage="1" showInputMessage="1" allowBlank="1" type="list">
      <formula1>_Lists!$R$1:$R$10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22" customWidth="1" min="4" max="4"/>
    <col width="22" customWidth="1" min="5" max="5"/>
    <col width="14" customWidth="1" min="6" max="6"/>
    <col width="20" customWidth="1" min="7" max="7"/>
    <col width="20" customWidth="1" min="8" max="8"/>
    <col width="22" customWidth="1" min="9" max="9"/>
    <col width="22" customWidth="1" min="10" max="10"/>
    <col width="2" customWidth="1" min="11" max="11"/>
    <col width="26" customWidth="1" min="12" max="12"/>
    <col width="16" customWidth="1" min="13" max="13"/>
  </cols>
  <sheetData>
    <row r="1" ht="36" customHeight="1">
      <c r="A1" s="1" t="inlineStr">
        <is>
          <t>📝  JULY — EXPENSE LOG</t>
        </is>
      </c>
    </row>
    <row r="2" ht="32" customHeight="1">
      <c r="A2" s="13" t="inlineStr">
        <is>
          <t>ℹ️  Date is DateTime. Category dropdown → Sub-category changes automatically. 'Added to Savings' → pick your saving account in Sub-category. CC spend → pick card in 'CC Name'. CC payment → increases card limit.</t>
        </is>
      </c>
    </row>
    <row r="4" ht="28" customHeight="1">
      <c r="A4" s="3" t="inlineStr">
        <is>
          <t>#</t>
        </is>
      </c>
      <c r="B4" s="3" t="inlineStr">
        <is>
          <t>Date &amp; Time</t>
        </is>
      </c>
      <c r="C4" s="3" t="inlineStr">
        <is>
          <t>Description</t>
        </is>
      </c>
      <c r="D4" s="3" t="inlineStr">
        <is>
          <t>Category</t>
        </is>
      </c>
      <c r="E4" s="3" t="inlineStr">
        <is>
          <t>Sub-category</t>
        </is>
      </c>
      <c r="F4" s="3" t="inlineStr">
        <is>
          <t>Amount (₹)</t>
        </is>
      </c>
      <c r="G4" s="3" t="inlineStr">
        <is>
          <t>Paid From</t>
        </is>
      </c>
      <c r="H4" s="3" t="inlineStr">
        <is>
          <t>CC Name</t>
        </is>
      </c>
      <c r="I4" s="3" t="inlineStr">
        <is>
          <t>Account</t>
        </is>
      </c>
      <c r="J4" s="3" t="inlineStr">
        <is>
          <t>Notes</t>
        </is>
      </c>
      <c r="L4" s="3" t="inlineStr">
        <is>
          <t>📊  July Summary</t>
        </is>
      </c>
      <c r="M4" s="3" t="inlineStr">
        <is>
          <t>Amount (₹)</t>
        </is>
      </c>
    </row>
    <row r="5" ht="22" customHeight="1">
      <c r="A5" s="14">
        <f>IF(F5&lt;&gt;"",ROW()-4,"")</f>
        <v/>
      </c>
      <c r="B5" s="15" t="n"/>
      <c r="C5" s="4" t="n"/>
      <c r="D5" s="4" t="n"/>
      <c r="E5" s="4" t="n"/>
      <c r="F5" s="16" t="n"/>
      <c r="G5" s="4" t="n"/>
      <c r="H5" s="4" t="n"/>
      <c r="I5" s="4" t="n"/>
      <c r="J5" s="4" t="n"/>
      <c r="L5" s="17" t="inlineStr">
        <is>
          <t>Total Expenses</t>
        </is>
      </c>
      <c r="M5" s="9">
        <f>F256</f>
        <v/>
      </c>
    </row>
    <row r="6" ht="22" customHeight="1">
      <c r="A6" s="18">
        <f>IF(F6&lt;&gt;"",ROW()-4,"")</f>
        <v/>
      </c>
      <c r="B6" s="15" t="n"/>
      <c r="C6" s="4" t="n"/>
      <c r="D6" s="4" t="n"/>
      <c r="E6" s="4" t="n"/>
      <c r="F6" s="16" t="n"/>
      <c r="G6" s="4" t="n"/>
      <c r="H6" s="4" t="n"/>
      <c r="I6" s="4" t="n"/>
      <c r="J6" s="4" t="n"/>
      <c r="L6" s="17" t="inlineStr">
        <is>
          <t>Income This Month</t>
        </is>
      </c>
      <c r="M6" s="9">
        <f>Income!E7</f>
        <v/>
      </c>
    </row>
    <row r="7" ht="22" customHeight="1">
      <c r="A7" s="14">
        <f>IF(F7&lt;&gt;"",ROW()-4,"")</f>
        <v/>
      </c>
      <c r="B7" s="15" t="n"/>
      <c r="C7" s="4" t="n"/>
      <c r="D7" s="4" t="n"/>
      <c r="E7" s="4" t="n"/>
      <c r="F7" s="16" t="n"/>
      <c r="G7" s="4" t="n"/>
      <c r="H7" s="4" t="n"/>
      <c r="I7" s="4" t="n"/>
      <c r="J7" s="4" t="n"/>
      <c r="L7" s="17" t="inlineStr">
        <is>
          <t>Net This Month</t>
        </is>
      </c>
      <c r="M7" s="9">
        <f>M6-M5</f>
        <v/>
      </c>
    </row>
    <row r="8" ht="22" customHeight="1">
      <c r="A8" s="18">
        <f>IF(F8&lt;&gt;"",ROW()-4,"")</f>
        <v/>
      </c>
      <c r="B8" s="15" t="n"/>
      <c r="C8" s="4" t="n"/>
      <c r="D8" s="4" t="n"/>
      <c r="E8" s="4" t="n"/>
      <c r="F8" s="16" t="n"/>
      <c r="G8" s="4" t="n"/>
      <c r="H8" s="4" t="n"/>
      <c r="I8" s="4" t="n"/>
      <c r="J8" s="4" t="n"/>
      <c r="L8" s="17" t="inlineStr">
        <is>
          <t>Savings 1 (this month)</t>
        </is>
      </c>
      <c r="M8" s="9">
        <f>IF(Setup!A13&lt;&gt;"",SUMIFS(F5:F255,D5:D255,"Added to Savings",I5:I255,Setup!A13)-SUMIFS(F5:F255,G5:G255,Setup!A13),"")</f>
        <v/>
      </c>
    </row>
    <row r="9" ht="22" customHeight="1">
      <c r="A9" s="14">
        <f>IF(F9&lt;&gt;"",ROW()-4,"")</f>
        <v/>
      </c>
      <c r="B9" s="15" t="n"/>
      <c r="C9" s="4" t="n"/>
      <c r="D9" s="4" t="n"/>
      <c r="E9" s="4" t="n"/>
      <c r="F9" s="16" t="n"/>
      <c r="G9" s="4" t="n"/>
      <c r="H9" s="4" t="n"/>
      <c r="I9" s="4" t="n"/>
      <c r="J9" s="4" t="n"/>
      <c r="L9" s="17" t="inlineStr">
        <is>
          <t>Savings 1 (balance)</t>
        </is>
      </c>
      <c r="M9" s="9">
        <f>IF(Setup!A13&lt;&gt;"",Setup!B13+(SUMIFS('April'!F5:F64,'April'!D5:D64,"Added to Savings",'April'!I5:I64,Setup!A13)+SUMIFS('May'!F5:F64,'May'!D5:D64,"Added to Savings",'May'!I5:I64,Setup!A13)+SUMIFS('June'!F5:F64,'June'!D5:D64,"Added to Savings",'June'!I5:I64,Setup!A13)+SUMIFS('July'!F5:F64,'July'!D5:D64,"Added to Savings",'July'!I5:I64,Setup!A13))-(SUMIFS('April'!F5:F64,'April'!G5:G64,Setup!A13)+SUMIFS('May'!F5:F64,'May'!G5:G64,Setup!A13)+SUMIFS('June'!F5:F64,'June'!G5:G64,Setup!A13)+SUMIFS('July'!F5:F64,'July'!G5:G64,Setup!A13)),"")</f>
        <v/>
      </c>
    </row>
    <row r="10" ht="22" customHeight="1">
      <c r="A10" s="18">
        <f>IF(F10&lt;&gt;"",ROW()-4,"")</f>
        <v/>
      </c>
      <c r="B10" s="15" t="n"/>
      <c r="C10" s="4" t="n"/>
      <c r="D10" s="4" t="n"/>
      <c r="E10" s="4" t="n"/>
      <c r="F10" s="16" t="n"/>
      <c r="G10" s="4" t="n"/>
      <c r="H10" s="4" t="n"/>
      <c r="I10" s="4" t="n"/>
      <c r="J10" s="4" t="n"/>
      <c r="L10" s="17" t="inlineStr">
        <is>
          <t>Savings 2 (this month)</t>
        </is>
      </c>
      <c r="M10" s="9">
        <f>IF(Setup!A14&lt;&gt;"",SUMIFS(F5:F255,D5:D255,"Added to Savings",I5:I255,Setup!A14)-SUMIFS(F5:F255,G5:G255,Setup!A14),"")</f>
        <v/>
      </c>
    </row>
    <row r="11" ht="22" customHeight="1">
      <c r="A11" s="14">
        <f>IF(F11&lt;&gt;"",ROW()-4,"")</f>
        <v/>
      </c>
      <c r="B11" s="15" t="n"/>
      <c r="C11" s="4" t="n"/>
      <c r="D11" s="4" t="n"/>
      <c r="E11" s="4" t="n"/>
      <c r="F11" s="16" t="n"/>
      <c r="G11" s="4" t="n"/>
      <c r="H11" s="4" t="n"/>
      <c r="I11" s="4" t="n"/>
      <c r="J11" s="4" t="n"/>
      <c r="L11" s="17" t="inlineStr">
        <is>
          <t>Savings 2 (balance)</t>
        </is>
      </c>
      <c r="M11" s="9">
        <f>IF(Setup!A14&lt;&gt;"",Setup!B14+(SUMIFS('April'!F5:F64,'April'!D5:D64,"Added to Savings",'April'!I5:I64,Setup!A14)+SUMIFS('May'!F5:F64,'May'!D5:D64,"Added to Savings",'May'!I5:I64,Setup!A14)+SUMIFS('June'!F5:F64,'June'!D5:D64,"Added to Savings",'June'!I5:I64,Setup!A14)+SUMIFS('July'!F5:F64,'July'!D5:D64,"Added to Savings",'July'!I5:I64,Setup!A14))-(SUMIFS('April'!F5:F64,'April'!G5:G64,Setup!A14)+SUMIFS('May'!F5:F64,'May'!G5:G64,Setup!A14)+SUMIFS('June'!F5:F64,'June'!G5:G64,Setup!A14)+SUMIFS('July'!F5:F64,'July'!G5:G64,Setup!A14)),"")</f>
        <v/>
      </c>
    </row>
    <row r="12" ht="22" customHeight="1">
      <c r="A12" s="18">
        <f>IF(F12&lt;&gt;"",ROW()-4,"")</f>
        <v/>
      </c>
      <c r="B12" s="15" t="n"/>
      <c r="C12" s="4" t="n"/>
      <c r="D12" s="4" t="n"/>
      <c r="E12" s="4" t="n"/>
      <c r="F12" s="16" t="n"/>
      <c r="G12" s="4" t="n"/>
      <c r="H12" s="4" t="n"/>
      <c r="I12" s="4" t="n"/>
      <c r="J12" s="4" t="n"/>
      <c r="L12" s="17" t="inlineStr">
        <is>
          <t>Savings 3 (this month)</t>
        </is>
      </c>
      <c r="M12" s="9">
        <f>IF(Setup!A15&lt;&gt;"",SUMIFS(F5:F255,D5:D255,"Added to Savings",I5:I255,Setup!A15)-SUMIFS(F5:F255,G5:G255,Setup!A15),"")</f>
        <v/>
      </c>
    </row>
    <row r="13" ht="22" customHeight="1">
      <c r="A13" s="14">
        <f>IF(F13&lt;&gt;"",ROW()-4,"")</f>
        <v/>
      </c>
      <c r="B13" s="15" t="n"/>
      <c r="C13" s="4" t="n"/>
      <c r="D13" s="4" t="n"/>
      <c r="E13" s="4" t="n"/>
      <c r="F13" s="16" t="n"/>
      <c r="G13" s="4" t="n"/>
      <c r="H13" s="4" t="n"/>
      <c r="I13" s="4" t="n"/>
      <c r="J13" s="4" t="n"/>
      <c r="L13" s="17" t="inlineStr">
        <is>
          <t>Savings 3 (balance)</t>
        </is>
      </c>
      <c r="M13" s="9">
        <f>IF(Setup!A15&lt;&gt;"",Setup!B15+(SUMIFS('April'!F5:F64,'April'!D5:D64,"Added to Savings",'April'!I5:I64,Setup!A15)+SUMIFS('May'!F5:F64,'May'!D5:D64,"Added to Savings",'May'!I5:I64,Setup!A15)+SUMIFS('June'!F5:F64,'June'!D5:D64,"Added to Savings",'June'!I5:I64,Setup!A15)+SUMIFS('July'!F5:F64,'July'!D5:D64,"Added to Savings",'July'!I5:I64,Setup!A15))-(SUMIFS('April'!F5:F64,'April'!G5:G64,Setup!A15)+SUMIFS('May'!F5:F64,'May'!G5:G64,Setup!A15)+SUMIFS('June'!F5:F64,'June'!G5:G64,Setup!A15)+SUMIFS('July'!F5:F64,'July'!G5:G64,Setup!A15)),"")</f>
        <v/>
      </c>
    </row>
    <row r="14" ht="22" customHeight="1">
      <c r="A14" s="18">
        <f>IF(F14&lt;&gt;"",ROW()-4,"")</f>
        <v/>
      </c>
      <c r="B14" s="15" t="n"/>
      <c r="C14" s="4" t="n"/>
      <c r="D14" s="4" t="n"/>
      <c r="E14" s="4" t="n"/>
      <c r="F14" s="16" t="n"/>
      <c r="G14" s="4" t="n"/>
      <c r="H14" s="4" t="n"/>
      <c r="I14" s="4" t="n"/>
      <c r="J14" s="4" t="n"/>
      <c r="L14" s="17" t="inlineStr">
        <is>
          <t>Savings 4 (this month)</t>
        </is>
      </c>
      <c r="M14" s="9">
        <f>IF(Setup!A16&lt;&gt;"",SUMIFS(F5:F255,D5:D255,"Added to Savings",I5:I255,Setup!A16)-SUMIFS(F5:F255,G5:G255,Setup!A16),"")</f>
        <v/>
      </c>
    </row>
    <row r="15" ht="22" customHeight="1">
      <c r="A15" s="14">
        <f>IF(F15&lt;&gt;"",ROW()-4,"")</f>
        <v/>
      </c>
      <c r="B15" s="15" t="n"/>
      <c r="C15" s="4" t="n"/>
      <c r="D15" s="4" t="n"/>
      <c r="E15" s="4" t="n"/>
      <c r="F15" s="16" t="n"/>
      <c r="G15" s="4" t="n"/>
      <c r="H15" s="4" t="n"/>
      <c r="I15" s="4" t="n"/>
      <c r="J15" s="4" t="n"/>
      <c r="L15" s="17" t="inlineStr">
        <is>
          <t>Savings 4 (balance)</t>
        </is>
      </c>
      <c r="M15" s="9">
        <f>IF(Setup!A16&lt;&gt;"",Setup!B16+(SUMIFS('April'!F5:F64,'April'!D5:D64,"Added to Savings",'April'!I5:I64,Setup!A16)+SUMIFS('May'!F5:F64,'May'!D5:D64,"Added to Savings",'May'!I5:I64,Setup!A16)+SUMIFS('June'!F5:F64,'June'!D5:D64,"Added to Savings",'June'!I5:I64,Setup!A16)+SUMIFS('July'!F5:F64,'July'!D5:D64,"Added to Savings",'July'!I5:I64,Setup!A16))-(SUMIFS('April'!F5:F64,'April'!G5:G64,Setup!A16)+SUMIFS('May'!F5:F64,'May'!G5:G64,Setup!A16)+SUMIFS('June'!F5:F64,'June'!G5:G64,Setup!A16)+SUMIFS('July'!F5:F64,'July'!G5:G64,Setup!A16)),"")</f>
        <v/>
      </c>
    </row>
    <row r="16" ht="22" customHeight="1">
      <c r="A16" s="18">
        <f>IF(F16&lt;&gt;"",ROW()-4,"")</f>
        <v/>
      </c>
      <c r="B16" s="15" t="n"/>
      <c r="C16" s="4" t="n"/>
      <c r="D16" s="4" t="n"/>
      <c r="E16" s="4" t="n"/>
      <c r="F16" s="16" t="n"/>
      <c r="G16" s="4" t="n"/>
      <c r="H16" s="4" t="n"/>
      <c r="I16" s="4" t="n"/>
      <c r="J16" s="4" t="n"/>
      <c r="L16" s="17" t="inlineStr">
        <is>
          <t>Savings 5 (this month)</t>
        </is>
      </c>
      <c r="M16" s="9">
        <f>IF(Setup!A17&lt;&gt;"",SUMIFS(F5:F255,D5:D255,"Added to Savings",I5:I255,Setup!A17)-SUMIFS(F5:F255,G5:G255,Setup!A17),"")</f>
        <v/>
      </c>
    </row>
    <row r="17" ht="22" customHeight="1">
      <c r="A17" s="14">
        <f>IF(F17&lt;&gt;"",ROW()-4,"")</f>
        <v/>
      </c>
      <c r="B17" s="15" t="n"/>
      <c r="C17" s="4" t="n"/>
      <c r="D17" s="4" t="n"/>
      <c r="E17" s="4" t="n"/>
      <c r="F17" s="16" t="n"/>
      <c r="G17" s="4" t="n"/>
      <c r="H17" s="4" t="n"/>
      <c r="I17" s="4" t="n"/>
      <c r="J17" s="4" t="n"/>
      <c r="L17" s="17" t="inlineStr">
        <is>
          <t>Savings 5 (balance)</t>
        </is>
      </c>
      <c r="M17" s="9">
        <f>IF(Setup!A17&lt;&gt;"",Setup!B17+(SUMIFS('April'!F5:F64,'April'!D5:D64,"Added to Savings",'April'!I5:I64,Setup!A17)+SUMIFS('May'!F5:F64,'May'!D5:D64,"Added to Savings",'May'!I5:I64,Setup!A17)+SUMIFS('June'!F5:F64,'June'!D5:D64,"Added to Savings",'June'!I5:I64,Setup!A17)+SUMIFS('July'!F5:F64,'July'!D5:D64,"Added to Savings",'July'!I5:I64,Setup!A17))-(SUMIFS('April'!F5:F64,'April'!G5:G64,Setup!A17)+SUMIFS('May'!F5:F64,'May'!G5:G64,Setup!A17)+SUMIFS('June'!F5:F64,'June'!G5:G64,Setup!A17)+SUMIFS('July'!F5:F64,'July'!G5:G64,Setup!A17)),"")</f>
        <v/>
      </c>
    </row>
    <row r="18" ht="22" customHeight="1">
      <c r="A18" s="18">
        <f>IF(F18&lt;&gt;"",ROW()-4,"")</f>
        <v/>
      </c>
      <c r="B18" s="15" t="n"/>
      <c r="C18" s="4" t="n"/>
      <c r="D18" s="4" t="n"/>
      <c r="E18" s="4" t="n"/>
      <c r="F18" s="16" t="n"/>
      <c r="G18" s="4" t="n"/>
      <c r="H18" s="4" t="n"/>
      <c r="I18" s="4" t="n"/>
      <c r="J18" s="4" t="n"/>
      <c r="L18" s="17" t="inlineStr">
        <is>
          <t>Fixed Bills Paid</t>
        </is>
      </c>
      <c r="M18" s="9">
        <f>SUMIF(D5:D255,"Fixed Bills",F5:F255)</f>
        <v/>
      </c>
    </row>
    <row r="19" ht="22" customHeight="1">
      <c r="A19" s="14">
        <f>IF(F19&lt;&gt;"",ROW()-4,"")</f>
        <v/>
      </c>
      <c r="B19" s="15" t="n"/>
      <c r="C19" s="4" t="n"/>
      <c r="D19" s="4" t="n"/>
      <c r="E19" s="4" t="n"/>
      <c r="F19" s="16" t="n"/>
      <c r="G19" s="4" t="n"/>
      <c r="H19" s="4" t="n"/>
      <c r="I19" s="4" t="n"/>
      <c r="J19" s="4" t="n"/>
      <c r="L19" s="17" t="inlineStr">
        <is>
          <t>Food &amp; Dining</t>
        </is>
      </c>
      <c r="M19" s="9">
        <f>SUMIF(D5:D255,"Food &amp; Dining",F5:F255)</f>
        <v/>
      </c>
    </row>
    <row r="20" ht="22" customHeight="1">
      <c r="A20" s="18">
        <f>IF(F20&lt;&gt;"",ROW()-4,"")</f>
        <v/>
      </c>
      <c r="B20" s="15" t="n"/>
      <c r="C20" s="4" t="n"/>
      <c r="D20" s="4" t="n"/>
      <c r="E20" s="4" t="n"/>
      <c r="F20" s="16" t="n"/>
      <c r="G20" s="4" t="n"/>
      <c r="H20" s="4" t="n"/>
      <c r="I20" s="4" t="n"/>
      <c r="J20" s="4" t="n"/>
      <c r="L20" s="17" t="inlineStr">
        <is>
          <t>Transport</t>
        </is>
      </c>
      <c r="M20" s="9">
        <f>SUMIF(D5:D255,"Transport &amp; Fuel",F5:F255)</f>
        <v/>
      </c>
    </row>
    <row r="21" ht="22" customHeight="1">
      <c r="A21" s="14">
        <f>IF(F21&lt;&gt;"",ROW()-4,"")</f>
        <v/>
      </c>
      <c r="B21" s="15" t="n"/>
      <c r="C21" s="4" t="n"/>
      <c r="D21" s="4" t="n"/>
      <c r="E21" s="4" t="n"/>
      <c r="F21" s="16" t="n"/>
      <c r="G21" s="4" t="n"/>
      <c r="H21" s="4" t="n"/>
      <c r="I21" s="4" t="n"/>
      <c r="J21" s="4" t="n"/>
      <c r="L21" s="17" t="inlineStr">
        <is>
          <t>Groceries</t>
        </is>
      </c>
      <c r="M21" s="9">
        <f>SUMIF(D5:D255,"Groceries",F5:F255)</f>
        <v/>
      </c>
    </row>
    <row r="22" ht="22" customHeight="1">
      <c r="A22" s="18">
        <f>IF(F22&lt;&gt;"",ROW()-4,"")</f>
        <v/>
      </c>
      <c r="B22" s="15" t="n"/>
      <c r="C22" s="4" t="n"/>
      <c r="D22" s="4" t="n"/>
      <c r="E22" s="4" t="n"/>
      <c r="F22" s="16" t="n"/>
      <c r="G22" s="4" t="n"/>
      <c r="H22" s="4" t="n"/>
      <c r="I22" s="4" t="n"/>
      <c r="J22" s="4" t="n"/>
      <c r="L22" s="17" t="inlineStr">
        <is>
          <t>Shopping</t>
        </is>
      </c>
      <c r="M22" s="9">
        <f>SUMIF(D5:D255,"Shopping &amp; Clothing",F5:F255)</f>
        <v/>
      </c>
    </row>
    <row r="23" ht="22" customHeight="1">
      <c r="A23" s="14">
        <f>IF(F23&lt;&gt;"",ROW()-4,"")</f>
        <v/>
      </c>
      <c r="B23" s="15" t="n"/>
      <c r="C23" s="4" t="n"/>
      <c r="D23" s="4" t="n"/>
      <c r="E23" s="4" t="n"/>
      <c r="F23" s="16" t="n"/>
      <c r="G23" s="4" t="n"/>
      <c r="H23" s="4" t="n"/>
      <c r="I23" s="4" t="n"/>
      <c r="J23" s="4" t="n"/>
      <c r="L23" s="17" t="inlineStr">
        <is>
          <t>Entertainment</t>
        </is>
      </c>
      <c r="M23" s="9">
        <f>SUMIF(D5:D255,"Entertainment &amp; OTT",F5:F255)</f>
        <v/>
      </c>
    </row>
    <row r="24" ht="22" customHeight="1">
      <c r="A24" s="18">
        <f>IF(F24&lt;&gt;"",ROW()-4,"")</f>
        <v/>
      </c>
      <c r="B24" s="15" t="n"/>
      <c r="C24" s="4" t="n"/>
      <c r="D24" s="4" t="n"/>
      <c r="E24" s="4" t="n"/>
      <c r="F24" s="16" t="n"/>
      <c r="G24" s="4" t="n"/>
      <c r="H24" s="4" t="n"/>
      <c r="I24" s="4" t="n"/>
      <c r="J24" s="4" t="n"/>
      <c r="L24" s="17" t="inlineStr">
        <is>
          <t>Investment</t>
        </is>
      </c>
      <c r="M24" s="9">
        <f>SUMIF(D5:D255,"Investment",F5:F255)</f>
        <v/>
      </c>
    </row>
    <row r="25" ht="22" customHeight="1">
      <c r="A25" s="14">
        <f>IF(F25&lt;&gt;"",ROW()-4,"")</f>
        <v/>
      </c>
      <c r="B25" s="15" t="n"/>
      <c r="C25" s="4" t="n"/>
      <c r="D25" s="4" t="n"/>
      <c r="E25" s="4" t="n"/>
      <c r="F25" s="16" t="n"/>
      <c r="G25" s="4" t="n"/>
      <c r="H25" s="4" t="n"/>
      <c r="I25" s="4" t="n"/>
      <c r="J25" s="4" t="n"/>
      <c r="L25" s="17" t="inlineStr">
        <is>
          <t>Added to Savings</t>
        </is>
      </c>
      <c r="M25" s="9">
        <f>SUMIF(D5:D255,"Added to Savings",F5:F255)</f>
        <v/>
      </c>
    </row>
    <row r="26" ht="22" customHeight="1">
      <c r="A26" s="18">
        <f>IF(F26&lt;&gt;"",ROW()-4,"")</f>
        <v/>
      </c>
      <c r="B26" s="15" t="n"/>
      <c r="C26" s="4" t="n"/>
      <c r="D26" s="4" t="n"/>
      <c r="E26" s="4" t="n"/>
      <c r="F26" s="16" t="n"/>
      <c r="G26" s="4" t="n"/>
      <c r="H26" s="4" t="n"/>
      <c r="I26" s="4" t="n"/>
      <c r="J26" s="4" t="n"/>
      <c r="L26" s="17" t="inlineStr">
        <is>
          <t>CC Payments</t>
        </is>
      </c>
      <c r="M26" s="9">
        <f>SUMIF(D5:D255,"Credit Card Payment",F5:F255)</f>
        <v/>
      </c>
    </row>
    <row r="27" ht="22" customHeight="1">
      <c r="A27" s="14">
        <f>IF(F27&lt;&gt;"",ROW()-4,"")</f>
        <v/>
      </c>
      <c r="B27" s="15" t="n"/>
      <c r="C27" s="4" t="n"/>
      <c r="D27" s="4" t="n"/>
      <c r="E27" s="4" t="n"/>
      <c r="F27" s="16" t="n"/>
      <c r="G27" s="4" t="n"/>
      <c r="H27" s="4" t="n"/>
      <c r="I27" s="4" t="n"/>
      <c r="J27" s="4" t="n"/>
      <c r="L27" s="17" t="inlineStr">
        <is>
          <t>Miscellaneous</t>
        </is>
      </c>
      <c r="M27" s="9">
        <f>SUMIF(D5:D255,"Miscellaneous",F5:F255)</f>
        <v/>
      </c>
    </row>
    <row r="28">
      <c r="A28" s="18">
        <f>IF(F28&lt;&gt;"",ROW()-4,"")</f>
        <v/>
      </c>
      <c r="B28" s="15" t="n"/>
      <c r="C28" s="4" t="n"/>
      <c r="D28" s="4" t="n"/>
      <c r="E28" s="4" t="n"/>
      <c r="F28" s="16" t="n"/>
      <c r="G28" s="4" t="n"/>
      <c r="H28" s="4" t="n"/>
      <c r="I28" s="4" t="n"/>
      <c r="J28" s="4" t="n"/>
    </row>
    <row r="29">
      <c r="A29" s="14">
        <f>IF(F29&lt;&gt;"",ROW()-4,"")</f>
        <v/>
      </c>
      <c r="B29" s="15" t="n"/>
      <c r="C29" s="4" t="n"/>
      <c r="D29" s="4" t="n"/>
      <c r="E29" s="4" t="n"/>
      <c r="F29" s="16" t="n"/>
      <c r="G29" s="4" t="n"/>
      <c r="H29" s="4" t="n"/>
      <c r="I29" s="4" t="n"/>
      <c r="J29" s="4" t="n"/>
    </row>
    <row r="30">
      <c r="A30" s="18">
        <f>IF(F30&lt;&gt;"",ROW()-4,"")</f>
        <v/>
      </c>
      <c r="B30" s="15" t="n"/>
      <c r="C30" s="4" t="n"/>
      <c r="D30" s="4" t="n"/>
      <c r="E30" s="4" t="n"/>
      <c r="F30" s="16" t="n"/>
      <c r="G30" s="4" t="n"/>
      <c r="H30" s="4" t="n"/>
      <c r="I30" s="4" t="n"/>
      <c r="J30" s="4" t="n"/>
    </row>
    <row r="31">
      <c r="A31" s="14">
        <f>IF(F31&lt;&gt;"",ROW()-4,"")</f>
        <v/>
      </c>
      <c r="B31" s="15" t="n"/>
      <c r="C31" s="4" t="n"/>
      <c r="D31" s="4" t="n"/>
      <c r="E31" s="4" t="n"/>
      <c r="F31" s="16" t="n"/>
      <c r="G31" s="4" t="n"/>
      <c r="H31" s="4" t="n"/>
      <c r="I31" s="4" t="n"/>
      <c r="J31" s="4" t="n"/>
    </row>
    <row r="32">
      <c r="A32" s="18">
        <f>IF(F32&lt;&gt;"",ROW()-4,"")</f>
        <v/>
      </c>
      <c r="B32" s="15" t="n"/>
      <c r="C32" s="4" t="n"/>
      <c r="D32" s="4" t="n"/>
      <c r="E32" s="4" t="n"/>
      <c r="F32" s="16" t="n"/>
      <c r="G32" s="4" t="n"/>
      <c r="H32" s="4" t="n"/>
      <c r="I32" s="4" t="n"/>
      <c r="J32" s="4" t="n"/>
    </row>
    <row r="33">
      <c r="A33" s="14">
        <f>IF(F33&lt;&gt;"",ROW()-4,"")</f>
        <v/>
      </c>
      <c r="B33" s="15" t="n"/>
      <c r="C33" s="4" t="n"/>
      <c r="D33" s="4" t="n"/>
      <c r="E33" s="4" t="n"/>
      <c r="F33" s="16" t="n"/>
      <c r="G33" s="4" t="n"/>
      <c r="H33" s="4" t="n"/>
      <c r="I33" s="4" t="n"/>
      <c r="J33" s="4" t="n"/>
    </row>
    <row r="34">
      <c r="A34" s="18">
        <f>IF(F34&lt;&gt;"",ROW()-4,"")</f>
        <v/>
      </c>
      <c r="B34" s="15" t="n"/>
      <c r="C34" s="4" t="n"/>
      <c r="D34" s="4" t="n"/>
      <c r="E34" s="4" t="n"/>
      <c r="F34" s="16" t="n"/>
      <c r="G34" s="4" t="n"/>
      <c r="H34" s="4" t="n"/>
      <c r="I34" s="4" t="n"/>
      <c r="J34" s="4" t="n"/>
    </row>
    <row r="35">
      <c r="A35" s="14">
        <f>IF(F35&lt;&gt;"",ROW()-4,"")</f>
        <v/>
      </c>
      <c r="B35" s="15" t="n"/>
      <c r="C35" s="4" t="n"/>
      <c r="D35" s="4" t="n"/>
      <c r="E35" s="4" t="n"/>
      <c r="F35" s="16" t="n"/>
      <c r="G35" s="4" t="n"/>
      <c r="H35" s="4" t="n"/>
      <c r="I35" s="4" t="n"/>
      <c r="J35" s="4" t="n"/>
    </row>
    <row r="36">
      <c r="A36" s="18">
        <f>IF(F36&lt;&gt;"",ROW()-4,"")</f>
        <v/>
      </c>
      <c r="B36" s="15" t="n"/>
      <c r="C36" s="4" t="n"/>
      <c r="D36" s="4" t="n"/>
      <c r="E36" s="4" t="n"/>
      <c r="F36" s="16" t="n"/>
      <c r="G36" s="4" t="n"/>
      <c r="H36" s="4" t="n"/>
      <c r="I36" s="4" t="n"/>
      <c r="J36" s="4" t="n"/>
    </row>
    <row r="37">
      <c r="A37" s="14">
        <f>IF(F37&lt;&gt;"",ROW()-4,"")</f>
        <v/>
      </c>
      <c r="B37" s="15" t="n"/>
      <c r="C37" s="4" t="n"/>
      <c r="D37" s="4" t="n"/>
      <c r="E37" s="4" t="n"/>
      <c r="F37" s="16" t="n"/>
      <c r="G37" s="4" t="n"/>
      <c r="H37" s="4" t="n"/>
      <c r="I37" s="4" t="n"/>
      <c r="J37" s="4" t="n"/>
    </row>
    <row r="38">
      <c r="A38" s="18">
        <f>IF(F38&lt;&gt;"",ROW()-4,"")</f>
        <v/>
      </c>
      <c r="B38" s="15" t="n"/>
      <c r="C38" s="4" t="n"/>
      <c r="D38" s="4" t="n"/>
      <c r="E38" s="4" t="n"/>
      <c r="F38" s="16" t="n"/>
      <c r="G38" s="4" t="n"/>
      <c r="H38" s="4" t="n"/>
      <c r="I38" s="4" t="n"/>
      <c r="J38" s="4" t="n"/>
    </row>
    <row r="39">
      <c r="A39" s="14">
        <f>IF(F39&lt;&gt;"",ROW()-4,"")</f>
        <v/>
      </c>
      <c r="B39" s="15" t="n"/>
      <c r="C39" s="4" t="n"/>
      <c r="D39" s="4" t="n"/>
      <c r="E39" s="4" t="n"/>
      <c r="F39" s="16" t="n"/>
      <c r="G39" s="4" t="n"/>
      <c r="H39" s="4" t="n"/>
      <c r="I39" s="4" t="n"/>
      <c r="J39" s="4" t="n"/>
    </row>
    <row r="40">
      <c r="A40" s="18">
        <f>IF(F40&lt;&gt;"",ROW()-4,"")</f>
        <v/>
      </c>
      <c r="B40" s="15" t="n"/>
      <c r="C40" s="4" t="n"/>
      <c r="D40" s="4" t="n"/>
      <c r="E40" s="4" t="n"/>
      <c r="F40" s="16" t="n"/>
      <c r="G40" s="4" t="n"/>
      <c r="H40" s="4" t="n"/>
      <c r="I40" s="4" t="n"/>
      <c r="J40" s="4" t="n"/>
    </row>
    <row r="41">
      <c r="A41" s="14">
        <f>IF(F41&lt;&gt;"",ROW()-4,"")</f>
        <v/>
      </c>
      <c r="B41" s="15" t="n"/>
      <c r="C41" s="4" t="n"/>
      <c r="D41" s="4" t="n"/>
      <c r="E41" s="4" t="n"/>
      <c r="F41" s="16" t="n"/>
      <c r="G41" s="4" t="n"/>
      <c r="H41" s="4" t="n"/>
      <c r="I41" s="4" t="n"/>
      <c r="J41" s="4" t="n"/>
    </row>
    <row r="42">
      <c r="A42" s="18">
        <f>IF(F42&lt;&gt;"",ROW()-4,"")</f>
        <v/>
      </c>
      <c r="B42" s="15" t="n"/>
      <c r="C42" s="4" t="n"/>
      <c r="D42" s="4" t="n"/>
      <c r="E42" s="4" t="n"/>
      <c r="F42" s="16" t="n"/>
      <c r="G42" s="4" t="n"/>
      <c r="H42" s="4" t="n"/>
      <c r="I42" s="4" t="n"/>
      <c r="J42" s="4" t="n"/>
    </row>
    <row r="43">
      <c r="A43" s="14">
        <f>IF(F43&lt;&gt;"",ROW()-4,"")</f>
        <v/>
      </c>
      <c r="B43" s="15" t="n"/>
      <c r="C43" s="4" t="n"/>
      <c r="D43" s="4" t="n"/>
      <c r="E43" s="4" t="n"/>
      <c r="F43" s="16" t="n"/>
      <c r="G43" s="4" t="n"/>
      <c r="H43" s="4" t="n"/>
      <c r="I43" s="4" t="n"/>
      <c r="J43" s="4" t="n"/>
    </row>
    <row r="44">
      <c r="A44" s="18">
        <f>IF(F44&lt;&gt;"",ROW()-4,"")</f>
        <v/>
      </c>
      <c r="B44" s="15" t="n"/>
      <c r="C44" s="4" t="n"/>
      <c r="D44" s="4" t="n"/>
      <c r="E44" s="4" t="n"/>
      <c r="F44" s="16" t="n"/>
      <c r="G44" s="4" t="n"/>
      <c r="H44" s="4" t="n"/>
      <c r="I44" s="4" t="n"/>
      <c r="J44" s="4" t="n"/>
    </row>
    <row r="45">
      <c r="A45" s="14">
        <f>IF(F45&lt;&gt;"",ROW()-4,"")</f>
        <v/>
      </c>
      <c r="B45" s="15" t="n"/>
      <c r="C45" s="4" t="n"/>
      <c r="D45" s="4" t="n"/>
      <c r="E45" s="4" t="n"/>
      <c r="F45" s="16" t="n"/>
      <c r="G45" s="4" t="n"/>
      <c r="H45" s="4" t="n"/>
      <c r="I45" s="4" t="n"/>
      <c r="J45" s="4" t="n"/>
    </row>
    <row r="46">
      <c r="A46" s="18">
        <f>IF(F46&lt;&gt;"",ROW()-4,"")</f>
        <v/>
      </c>
      <c r="B46" s="15" t="n"/>
      <c r="C46" s="4" t="n"/>
      <c r="D46" s="4" t="n"/>
      <c r="E46" s="4" t="n"/>
      <c r="F46" s="16" t="n"/>
      <c r="G46" s="4" t="n"/>
      <c r="H46" s="4" t="n"/>
      <c r="I46" s="4" t="n"/>
      <c r="J46" s="4" t="n"/>
    </row>
    <row r="47">
      <c r="A47" s="14">
        <f>IF(F47&lt;&gt;"",ROW()-4,"")</f>
        <v/>
      </c>
      <c r="B47" s="15" t="n"/>
      <c r="C47" s="4" t="n"/>
      <c r="D47" s="4" t="n"/>
      <c r="E47" s="4" t="n"/>
      <c r="F47" s="16" t="n"/>
      <c r="G47" s="4" t="n"/>
      <c r="H47" s="4" t="n"/>
      <c r="I47" s="4" t="n"/>
      <c r="J47" s="4" t="n"/>
    </row>
    <row r="48">
      <c r="A48" s="18">
        <f>IF(F48&lt;&gt;"",ROW()-4,"")</f>
        <v/>
      </c>
      <c r="B48" s="15" t="n"/>
      <c r="C48" s="4" t="n"/>
      <c r="D48" s="4" t="n"/>
      <c r="E48" s="4" t="n"/>
      <c r="F48" s="16" t="n"/>
      <c r="G48" s="4" t="n"/>
      <c r="H48" s="4" t="n"/>
      <c r="I48" s="4" t="n"/>
      <c r="J48" s="4" t="n"/>
    </row>
    <row r="49">
      <c r="A49" s="14">
        <f>IF(F49&lt;&gt;"",ROW()-4,"")</f>
        <v/>
      </c>
      <c r="B49" s="15" t="n"/>
      <c r="C49" s="4" t="n"/>
      <c r="D49" s="4" t="n"/>
      <c r="E49" s="4" t="n"/>
      <c r="F49" s="16" t="n"/>
      <c r="G49" s="4" t="n"/>
      <c r="H49" s="4" t="n"/>
      <c r="I49" s="4" t="n"/>
      <c r="J49" s="4" t="n"/>
    </row>
    <row r="50">
      <c r="A50" s="18">
        <f>IF(F50&lt;&gt;"",ROW()-4,"")</f>
        <v/>
      </c>
      <c r="B50" s="15" t="n"/>
      <c r="C50" s="4" t="n"/>
      <c r="D50" s="4" t="n"/>
      <c r="E50" s="4" t="n"/>
      <c r="F50" s="16" t="n"/>
      <c r="G50" s="4" t="n"/>
      <c r="H50" s="4" t="n"/>
      <c r="I50" s="4" t="n"/>
      <c r="J50" s="4" t="n"/>
    </row>
    <row r="51">
      <c r="A51" s="14">
        <f>IF(F51&lt;&gt;"",ROW()-4,"")</f>
        <v/>
      </c>
      <c r="B51" s="15" t="n"/>
      <c r="C51" s="4" t="n"/>
      <c r="D51" s="4" t="n"/>
      <c r="E51" s="4" t="n"/>
      <c r="F51" s="16" t="n"/>
      <c r="G51" s="4" t="n"/>
      <c r="H51" s="4" t="n"/>
      <c r="I51" s="4" t="n"/>
      <c r="J51" s="4" t="n"/>
    </row>
    <row r="52">
      <c r="A52" s="18">
        <f>IF(F52&lt;&gt;"",ROW()-4,"")</f>
        <v/>
      </c>
      <c r="B52" s="15" t="n"/>
      <c r="C52" s="4" t="n"/>
      <c r="D52" s="4" t="n"/>
      <c r="E52" s="4" t="n"/>
      <c r="F52" s="16" t="n"/>
      <c r="G52" s="4" t="n"/>
      <c r="H52" s="4" t="n"/>
      <c r="I52" s="4" t="n"/>
      <c r="J52" s="4" t="n"/>
    </row>
    <row r="53">
      <c r="A53" s="14">
        <f>IF(F53&lt;&gt;"",ROW()-4,"")</f>
        <v/>
      </c>
      <c r="B53" s="15" t="n"/>
      <c r="C53" s="4" t="n"/>
      <c r="D53" s="4" t="n"/>
      <c r="E53" s="4" t="n"/>
      <c r="F53" s="16" t="n"/>
      <c r="G53" s="4" t="n"/>
      <c r="H53" s="4" t="n"/>
      <c r="I53" s="4" t="n"/>
      <c r="J53" s="4" t="n"/>
    </row>
    <row r="54">
      <c r="A54" s="18">
        <f>IF(F54&lt;&gt;"",ROW()-4,"")</f>
        <v/>
      </c>
      <c r="B54" s="15" t="n"/>
      <c r="C54" s="4" t="n"/>
      <c r="D54" s="4" t="n"/>
      <c r="E54" s="4" t="n"/>
      <c r="F54" s="16" t="n"/>
      <c r="G54" s="4" t="n"/>
      <c r="H54" s="4" t="n"/>
      <c r="I54" s="4" t="n"/>
      <c r="J54" s="4" t="n"/>
    </row>
    <row r="55">
      <c r="A55" s="14">
        <f>IF(F55&lt;&gt;"",ROW()-4,"")</f>
        <v/>
      </c>
      <c r="B55" s="15" t="n"/>
      <c r="C55" s="4" t="n"/>
      <c r="D55" s="4" t="n"/>
      <c r="E55" s="4" t="n"/>
      <c r="F55" s="16" t="n"/>
      <c r="G55" s="4" t="n"/>
      <c r="H55" s="4" t="n"/>
      <c r="I55" s="4" t="n"/>
      <c r="J55" s="4" t="n"/>
    </row>
    <row r="56">
      <c r="A56" s="18">
        <f>IF(F56&lt;&gt;"",ROW()-4,"")</f>
        <v/>
      </c>
      <c r="B56" s="15" t="n"/>
      <c r="C56" s="4" t="n"/>
      <c r="D56" s="4" t="n"/>
      <c r="E56" s="4" t="n"/>
      <c r="F56" s="16" t="n"/>
      <c r="G56" s="4" t="n"/>
      <c r="H56" s="4" t="n"/>
      <c r="I56" s="4" t="n"/>
      <c r="J56" s="4" t="n"/>
    </row>
    <row r="57">
      <c r="A57" s="14">
        <f>IF(F57&lt;&gt;"",ROW()-4,"")</f>
        <v/>
      </c>
      <c r="B57" s="15" t="n"/>
      <c r="C57" s="4" t="n"/>
      <c r="D57" s="4" t="n"/>
      <c r="E57" s="4" t="n"/>
      <c r="F57" s="16" t="n"/>
      <c r="G57" s="4" t="n"/>
      <c r="H57" s="4" t="n"/>
      <c r="I57" s="4" t="n"/>
      <c r="J57" s="4" t="n"/>
    </row>
    <row r="58">
      <c r="A58" s="18">
        <f>IF(F58&lt;&gt;"",ROW()-4,"")</f>
        <v/>
      </c>
      <c r="B58" s="15" t="n"/>
      <c r="C58" s="4" t="n"/>
      <c r="D58" s="4" t="n"/>
      <c r="E58" s="4" t="n"/>
      <c r="F58" s="16" t="n"/>
      <c r="G58" s="4" t="n"/>
      <c r="H58" s="4" t="n"/>
      <c r="I58" s="4" t="n"/>
      <c r="J58" s="4" t="n"/>
    </row>
    <row r="59">
      <c r="A59" s="14">
        <f>IF(F59&lt;&gt;"",ROW()-4,"")</f>
        <v/>
      </c>
      <c r="B59" s="15" t="n"/>
      <c r="C59" s="4" t="n"/>
      <c r="D59" s="4" t="n"/>
      <c r="E59" s="4" t="n"/>
      <c r="F59" s="16" t="n"/>
      <c r="G59" s="4" t="n"/>
      <c r="H59" s="4" t="n"/>
      <c r="I59" s="4" t="n"/>
      <c r="J59" s="4" t="n"/>
    </row>
    <row r="60">
      <c r="A60" s="18">
        <f>IF(F60&lt;&gt;"",ROW()-4,"")</f>
        <v/>
      </c>
      <c r="B60" s="15" t="n"/>
      <c r="C60" s="4" t="n"/>
      <c r="D60" s="4" t="n"/>
      <c r="E60" s="4" t="n"/>
      <c r="F60" s="16" t="n"/>
      <c r="G60" s="4" t="n"/>
      <c r="H60" s="4" t="n"/>
      <c r="I60" s="4" t="n"/>
      <c r="J60" s="4" t="n"/>
    </row>
    <row r="61">
      <c r="A61" s="14">
        <f>IF(F61&lt;&gt;"",ROW()-4,"")</f>
        <v/>
      </c>
      <c r="B61" s="15" t="n"/>
      <c r="C61" s="4" t="n"/>
      <c r="D61" s="4" t="n"/>
      <c r="E61" s="4" t="n"/>
      <c r="F61" s="16" t="n"/>
      <c r="G61" s="4" t="n"/>
      <c r="H61" s="4" t="n"/>
      <c r="I61" s="4" t="n"/>
      <c r="J61" s="4" t="n"/>
    </row>
    <row r="62">
      <c r="A62" s="18">
        <f>IF(F62&lt;&gt;"",ROW()-4,"")</f>
        <v/>
      </c>
      <c r="B62" s="15" t="n"/>
      <c r="C62" s="4" t="n"/>
      <c r="D62" s="4" t="n"/>
      <c r="E62" s="4" t="n"/>
      <c r="F62" s="16" t="n"/>
      <c r="G62" s="4" t="n"/>
      <c r="H62" s="4" t="n"/>
      <c r="I62" s="4" t="n"/>
      <c r="J62" s="4" t="n"/>
    </row>
    <row r="63">
      <c r="A63" s="14">
        <f>IF(F63&lt;&gt;"",ROW()-4,"")</f>
        <v/>
      </c>
      <c r="B63" s="15" t="n"/>
      <c r="C63" s="4" t="n"/>
      <c r="D63" s="4" t="n"/>
      <c r="E63" s="4" t="n"/>
      <c r="F63" s="16" t="n"/>
      <c r="G63" s="4" t="n"/>
      <c r="H63" s="4" t="n"/>
      <c r="I63" s="4" t="n"/>
      <c r="J63" s="4" t="n"/>
    </row>
    <row r="64">
      <c r="A64" s="18">
        <f>IF(F64&lt;&gt;"",ROW()-4,"")</f>
        <v/>
      </c>
      <c r="B64" s="15" t="n"/>
      <c r="C64" s="4" t="n"/>
      <c r="D64" s="4" t="n"/>
      <c r="E64" s="4" t="n"/>
      <c r="F64" s="16" t="n"/>
      <c r="G64" s="4" t="n"/>
      <c r="H64" s="4" t="n"/>
      <c r="I64" s="4" t="n"/>
      <c r="J64" s="4" t="n"/>
    </row>
    <row r="65">
      <c r="A65" s="14">
        <f>IF(F65&lt;&gt;"",ROW()-4,"")</f>
        <v/>
      </c>
      <c r="B65" s="15" t="n"/>
      <c r="C65" s="4" t="n"/>
      <c r="D65" s="4" t="n"/>
      <c r="E65" s="4" t="n"/>
      <c r="F65" s="16" t="n"/>
      <c r="G65" s="4" t="n"/>
      <c r="H65" s="4" t="n"/>
      <c r="I65" s="4" t="n"/>
      <c r="J65" s="4" t="n"/>
    </row>
    <row r="66">
      <c r="A66" s="18">
        <f>IF(F66&lt;&gt;"",ROW()-4,"")</f>
        <v/>
      </c>
      <c r="B66" s="15" t="n"/>
      <c r="C66" s="4" t="n"/>
      <c r="D66" s="4" t="n"/>
      <c r="E66" s="4" t="n"/>
      <c r="F66" s="16" t="n"/>
      <c r="G66" s="4" t="n"/>
      <c r="H66" s="4" t="n"/>
      <c r="I66" s="4" t="n"/>
      <c r="J66" s="4" t="n"/>
    </row>
    <row r="67">
      <c r="A67" s="14">
        <f>IF(F67&lt;&gt;"",ROW()-4,"")</f>
        <v/>
      </c>
      <c r="B67" s="15" t="n"/>
      <c r="C67" s="4" t="n"/>
      <c r="D67" s="4" t="n"/>
      <c r="E67" s="4" t="n"/>
      <c r="F67" s="16" t="n"/>
      <c r="G67" s="4" t="n"/>
      <c r="H67" s="4" t="n"/>
      <c r="I67" s="4" t="n"/>
      <c r="J67" s="4" t="n"/>
    </row>
    <row r="68">
      <c r="A68" s="18">
        <f>IF(F68&lt;&gt;"",ROW()-4,"")</f>
        <v/>
      </c>
      <c r="B68" s="15" t="n"/>
      <c r="C68" s="4" t="n"/>
      <c r="D68" s="4" t="n"/>
      <c r="E68" s="4" t="n"/>
      <c r="F68" s="16" t="n"/>
      <c r="G68" s="4" t="n"/>
      <c r="H68" s="4" t="n"/>
      <c r="I68" s="4" t="n"/>
      <c r="J68" s="4" t="n"/>
    </row>
    <row r="69">
      <c r="A69" s="14">
        <f>IF(F69&lt;&gt;"",ROW()-4,"")</f>
        <v/>
      </c>
      <c r="B69" s="15" t="n"/>
      <c r="C69" s="4" t="n"/>
      <c r="D69" s="4" t="n"/>
      <c r="E69" s="4" t="n"/>
      <c r="F69" s="16" t="n"/>
      <c r="G69" s="4" t="n"/>
      <c r="H69" s="4" t="n"/>
      <c r="I69" s="4" t="n"/>
      <c r="J69" s="4" t="n"/>
    </row>
    <row r="70">
      <c r="A70" s="18">
        <f>IF(F70&lt;&gt;"",ROW()-4,"")</f>
        <v/>
      </c>
      <c r="B70" s="15" t="n"/>
      <c r="C70" s="4" t="n"/>
      <c r="D70" s="4" t="n"/>
      <c r="E70" s="4" t="n"/>
      <c r="F70" s="16" t="n"/>
      <c r="G70" s="4" t="n"/>
      <c r="H70" s="4" t="n"/>
      <c r="I70" s="4" t="n"/>
      <c r="J70" s="4" t="n"/>
    </row>
    <row r="71">
      <c r="A71" s="14">
        <f>IF(F71&lt;&gt;"",ROW()-4,"")</f>
        <v/>
      </c>
      <c r="B71" s="15" t="n"/>
      <c r="C71" s="4" t="n"/>
      <c r="D71" s="4" t="n"/>
      <c r="E71" s="4" t="n"/>
      <c r="F71" s="16" t="n"/>
      <c r="G71" s="4" t="n"/>
      <c r="H71" s="4" t="n"/>
      <c r="I71" s="4" t="n"/>
      <c r="J71" s="4" t="n"/>
    </row>
    <row r="72">
      <c r="A72" s="18">
        <f>IF(F72&lt;&gt;"",ROW()-4,"")</f>
        <v/>
      </c>
      <c r="B72" s="15" t="n"/>
      <c r="C72" s="4" t="n"/>
      <c r="D72" s="4" t="n"/>
      <c r="E72" s="4" t="n"/>
      <c r="F72" s="16" t="n"/>
      <c r="G72" s="4" t="n"/>
      <c r="H72" s="4" t="n"/>
      <c r="I72" s="4" t="n"/>
      <c r="J72" s="4" t="n"/>
    </row>
    <row r="73">
      <c r="A73" s="14">
        <f>IF(F73&lt;&gt;"",ROW()-4,"")</f>
        <v/>
      </c>
      <c r="B73" s="15" t="n"/>
      <c r="C73" s="4" t="n"/>
      <c r="D73" s="4" t="n"/>
      <c r="E73" s="4" t="n"/>
      <c r="F73" s="16" t="n"/>
      <c r="G73" s="4" t="n"/>
      <c r="H73" s="4" t="n"/>
      <c r="I73" s="4" t="n"/>
      <c r="J73" s="4" t="n"/>
    </row>
    <row r="74">
      <c r="A74" s="18">
        <f>IF(F74&lt;&gt;"",ROW()-4,"")</f>
        <v/>
      </c>
      <c r="B74" s="15" t="n"/>
      <c r="C74" s="4" t="n"/>
      <c r="D74" s="4" t="n"/>
      <c r="E74" s="4" t="n"/>
      <c r="F74" s="16" t="n"/>
      <c r="G74" s="4" t="n"/>
      <c r="H74" s="4" t="n"/>
      <c r="I74" s="4" t="n"/>
      <c r="J74" s="4" t="n"/>
    </row>
    <row r="75">
      <c r="A75" s="14">
        <f>IF(F75&lt;&gt;"",ROW()-4,"")</f>
        <v/>
      </c>
      <c r="B75" s="15" t="n"/>
      <c r="C75" s="4" t="n"/>
      <c r="D75" s="4" t="n"/>
      <c r="E75" s="4" t="n"/>
      <c r="F75" s="16" t="n"/>
      <c r="G75" s="4" t="n"/>
      <c r="H75" s="4" t="n"/>
      <c r="I75" s="4" t="n"/>
      <c r="J75" s="4" t="n"/>
    </row>
    <row r="76">
      <c r="A76" s="18">
        <f>IF(F76&lt;&gt;"",ROW()-4,"")</f>
        <v/>
      </c>
      <c r="B76" s="15" t="n"/>
      <c r="C76" s="4" t="n"/>
      <c r="D76" s="4" t="n"/>
      <c r="E76" s="4" t="n"/>
      <c r="F76" s="16" t="n"/>
      <c r="G76" s="4" t="n"/>
      <c r="H76" s="4" t="n"/>
      <c r="I76" s="4" t="n"/>
      <c r="J76" s="4" t="n"/>
    </row>
    <row r="77">
      <c r="A77" s="14">
        <f>IF(F77&lt;&gt;"",ROW()-4,"")</f>
        <v/>
      </c>
      <c r="B77" s="15" t="n"/>
      <c r="C77" s="4" t="n"/>
      <c r="D77" s="4" t="n"/>
      <c r="E77" s="4" t="n"/>
      <c r="F77" s="16" t="n"/>
      <c r="G77" s="4" t="n"/>
      <c r="H77" s="4" t="n"/>
      <c r="I77" s="4" t="n"/>
      <c r="J77" s="4" t="n"/>
    </row>
    <row r="78">
      <c r="A78" s="18">
        <f>IF(F78&lt;&gt;"",ROW()-4,"")</f>
        <v/>
      </c>
      <c r="B78" s="15" t="n"/>
      <c r="C78" s="4" t="n"/>
      <c r="D78" s="4" t="n"/>
      <c r="E78" s="4" t="n"/>
      <c r="F78" s="16" t="n"/>
      <c r="G78" s="4" t="n"/>
      <c r="H78" s="4" t="n"/>
      <c r="I78" s="4" t="n"/>
      <c r="J78" s="4" t="n"/>
    </row>
    <row r="79">
      <c r="A79" s="14">
        <f>IF(F79&lt;&gt;"",ROW()-4,"")</f>
        <v/>
      </c>
      <c r="B79" s="15" t="n"/>
      <c r="C79" s="4" t="n"/>
      <c r="D79" s="4" t="n"/>
      <c r="E79" s="4" t="n"/>
      <c r="F79" s="16" t="n"/>
      <c r="G79" s="4" t="n"/>
      <c r="H79" s="4" t="n"/>
      <c r="I79" s="4" t="n"/>
      <c r="J79" s="4" t="n"/>
    </row>
    <row r="80">
      <c r="A80" s="18">
        <f>IF(F80&lt;&gt;"",ROW()-4,"")</f>
        <v/>
      </c>
      <c r="B80" s="15" t="n"/>
      <c r="C80" s="4" t="n"/>
      <c r="D80" s="4" t="n"/>
      <c r="E80" s="4" t="n"/>
      <c r="F80" s="16" t="n"/>
      <c r="G80" s="4" t="n"/>
      <c r="H80" s="4" t="n"/>
      <c r="I80" s="4" t="n"/>
      <c r="J80" s="4" t="n"/>
    </row>
    <row r="81">
      <c r="A81" s="14">
        <f>IF(F81&lt;&gt;"",ROW()-4,"")</f>
        <v/>
      </c>
      <c r="B81" s="15" t="n"/>
      <c r="C81" s="4" t="n"/>
      <c r="D81" s="4" t="n"/>
      <c r="E81" s="4" t="n"/>
      <c r="F81" s="16" t="n"/>
      <c r="G81" s="4" t="n"/>
      <c r="H81" s="4" t="n"/>
      <c r="I81" s="4" t="n"/>
      <c r="J81" s="4" t="n"/>
    </row>
    <row r="82">
      <c r="A82" s="18">
        <f>IF(F82&lt;&gt;"",ROW()-4,"")</f>
        <v/>
      </c>
      <c r="B82" s="15" t="n"/>
      <c r="C82" s="4" t="n"/>
      <c r="D82" s="4" t="n"/>
      <c r="E82" s="4" t="n"/>
      <c r="F82" s="16" t="n"/>
      <c r="G82" s="4" t="n"/>
      <c r="H82" s="4" t="n"/>
      <c r="I82" s="4" t="n"/>
      <c r="J82" s="4" t="n"/>
    </row>
    <row r="83">
      <c r="A83" s="14">
        <f>IF(F83&lt;&gt;"",ROW()-4,"")</f>
        <v/>
      </c>
      <c r="B83" s="15" t="n"/>
      <c r="C83" s="4" t="n"/>
      <c r="D83" s="4" t="n"/>
      <c r="E83" s="4" t="n"/>
      <c r="F83" s="16" t="n"/>
      <c r="G83" s="4" t="n"/>
      <c r="H83" s="4" t="n"/>
      <c r="I83" s="4" t="n"/>
      <c r="J83" s="4" t="n"/>
    </row>
    <row r="84">
      <c r="A84" s="18">
        <f>IF(F84&lt;&gt;"",ROW()-4,"")</f>
        <v/>
      </c>
      <c r="B84" s="15" t="n"/>
      <c r="C84" s="4" t="n"/>
      <c r="D84" s="4" t="n"/>
      <c r="E84" s="4" t="n"/>
      <c r="F84" s="16" t="n"/>
      <c r="G84" s="4" t="n"/>
      <c r="H84" s="4" t="n"/>
      <c r="I84" s="4" t="n"/>
      <c r="J84" s="4" t="n"/>
    </row>
    <row r="85">
      <c r="A85" s="14">
        <f>IF(F85&lt;&gt;"",ROW()-4,"")</f>
        <v/>
      </c>
      <c r="B85" s="15" t="n"/>
      <c r="C85" s="4" t="n"/>
      <c r="D85" s="4" t="n"/>
      <c r="E85" s="4" t="n"/>
      <c r="F85" s="16" t="n"/>
      <c r="G85" s="4" t="n"/>
      <c r="H85" s="4" t="n"/>
      <c r="I85" s="4" t="n"/>
      <c r="J85" s="4" t="n"/>
    </row>
    <row r="86">
      <c r="A86" s="18">
        <f>IF(F86&lt;&gt;"",ROW()-4,"")</f>
        <v/>
      </c>
      <c r="B86" s="15" t="n"/>
      <c r="C86" s="4" t="n"/>
      <c r="D86" s="4" t="n"/>
      <c r="E86" s="4" t="n"/>
      <c r="F86" s="16" t="n"/>
      <c r="G86" s="4" t="n"/>
      <c r="H86" s="4" t="n"/>
      <c r="I86" s="4" t="n"/>
      <c r="J86" s="4" t="n"/>
    </row>
    <row r="87">
      <c r="A87" s="14">
        <f>IF(F87&lt;&gt;"",ROW()-4,"")</f>
        <v/>
      </c>
      <c r="B87" s="15" t="n"/>
      <c r="C87" s="4" t="n"/>
      <c r="D87" s="4" t="n"/>
      <c r="E87" s="4" t="n"/>
      <c r="F87" s="16" t="n"/>
      <c r="G87" s="4" t="n"/>
      <c r="H87" s="4" t="n"/>
      <c r="I87" s="4" t="n"/>
      <c r="J87" s="4" t="n"/>
    </row>
    <row r="88">
      <c r="A88" s="18">
        <f>IF(F88&lt;&gt;"",ROW()-4,"")</f>
        <v/>
      </c>
      <c r="B88" s="15" t="n"/>
      <c r="C88" s="4" t="n"/>
      <c r="D88" s="4" t="n"/>
      <c r="E88" s="4" t="n"/>
      <c r="F88" s="16" t="n"/>
      <c r="G88" s="4" t="n"/>
      <c r="H88" s="4" t="n"/>
      <c r="I88" s="4" t="n"/>
      <c r="J88" s="4" t="n"/>
    </row>
    <row r="89">
      <c r="A89" s="14">
        <f>IF(F89&lt;&gt;"",ROW()-4,"")</f>
        <v/>
      </c>
      <c r="B89" s="15" t="n"/>
      <c r="C89" s="4" t="n"/>
      <c r="D89" s="4" t="n"/>
      <c r="E89" s="4" t="n"/>
      <c r="F89" s="16" t="n"/>
      <c r="G89" s="4" t="n"/>
      <c r="H89" s="4" t="n"/>
      <c r="I89" s="4" t="n"/>
      <c r="J89" s="4" t="n"/>
    </row>
    <row r="90">
      <c r="A90" s="18">
        <f>IF(F90&lt;&gt;"",ROW()-4,"")</f>
        <v/>
      </c>
      <c r="B90" s="15" t="n"/>
      <c r="C90" s="4" t="n"/>
      <c r="D90" s="4" t="n"/>
      <c r="E90" s="4" t="n"/>
      <c r="F90" s="16" t="n"/>
      <c r="G90" s="4" t="n"/>
      <c r="H90" s="4" t="n"/>
      <c r="I90" s="4" t="n"/>
      <c r="J90" s="4" t="n"/>
    </row>
    <row r="91">
      <c r="A91" s="14">
        <f>IF(F91&lt;&gt;"",ROW()-4,"")</f>
        <v/>
      </c>
      <c r="B91" s="15" t="n"/>
      <c r="C91" s="4" t="n"/>
      <c r="D91" s="4" t="n"/>
      <c r="E91" s="4" t="n"/>
      <c r="F91" s="16" t="n"/>
      <c r="G91" s="4" t="n"/>
      <c r="H91" s="4" t="n"/>
      <c r="I91" s="4" t="n"/>
      <c r="J91" s="4" t="n"/>
    </row>
    <row r="92">
      <c r="A92" s="18">
        <f>IF(F92&lt;&gt;"",ROW()-4,"")</f>
        <v/>
      </c>
      <c r="B92" s="15" t="n"/>
      <c r="C92" s="4" t="n"/>
      <c r="D92" s="4" t="n"/>
      <c r="E92" s="4" t="n"/>
      <c r="F92" s="16" t="n"/>
      <c r="G92" s="4" t="n"/>
      <c r="H92" s="4" t="n"/>
      <c r="I92" s="4" t="n"/>
      <c r="J92" s="4" t="n"/>
    </row>
    <row r="93">
      <c r="A93" s="14">
        <f>IF(F93&lt;&gt;"",ROW()-4,"")</f>
        <v/>
      </c>
      <c r="B93" s="15" t="n"/>
      <c r="C93" s="4" t="n"/>
      <c r="D93" s="4" t="n"/>
      <c r="E93" s="4" t="n"/>
      <c r="F93" s="16" t="n"/>
      <c r="G93" s="4" t="n"/>
      <c r="H93" s="4" t="n"/>
      <c r="I93" s="4" t="n"/>
      <c r="J93" s="4" t="n"/>
    </row>
    <row r="94">
      <c r="A94" s="18">
        <f>IF(F94&lt;&gt;"",ROW()-4,"")</f>
        <v/>
      </c>
      <c r="B94" s="15" t="n"/>
      <c r="C94" s="4" t="n"/>
      <c r="D94" s="4" t="n"/>
      <c r="E94" s="4" t="n"/>
      <c r="F94" s="16" t="n"/>
      <c r="G94" s="4" t="n"/>
      <c r="H94" s="4" t="n"/>
      <c r="I94" s="4" t="n"/>
      <c r="J94" s="4" t="n"/>
    </row>
    <row r="95">
      <c r="A95" s="14">
        <f>IF(F95&lt;&gt;"",ROW()-4,"")</f>
        <v/>
      </c>
      <c r="B95" s="15" t="n"/>
      <c r="C95" s="4" t="n"/>
      <c r="D95" s="4" t="n"/>
      <c r="E95" s="4" t="n"/>
      <c r="F95" s="16" t="n"/>
      <c r="G95" s="4" t="n"/>
      <c r="H95" s="4" t="n"/>
      <c r="I95" s="4" t="n"/>
      <c r="J95" s="4" t="n"/>
    </row>
    <row r="96">
      <c r="A96" s="18">
        <f>IF(F96&lt;&gt;"",ROW()-4,"")</f>
        <v/>
      </c>
      <c r="B96" s="15" t="n"/>
      <c r="C96" s="4" t="n"/>
      <c r="D96" s="4" t="n"/>
      <c r="E96" s="4" t="n"/>
      <c r="F96" s="16" t="n"/>
      <c r="G96" s="4" t="n"/>
      <c r="H96" s="4" t="n"/>
      <c r="I96" s="4" t="n"/>
      <c r="J96" s="4" t="n"/>
    </row>
    <row r="97">
      <c r="A97" s="14">
        <f>IF(F97&lt;&gt;"",ROW()-4,"")</f>
        <v/>
      </c>
      <c r="B97" s="15" t="n"/>
      <c r="C97" s="4" t="n"/>
      <c r="D97" s="4" t="n"/>
      <c r="E97" s="4" t="n"/>
      <c r="F97" s="16" t="n"/>
      <c r="G97" s="4" t="n"/>
      <c r="H97" s="4" t="n"/>
      <c r="I97" s="4" t="n"/>
      <c r="J97" s="4" t="n"/>
    </row>
    <row r="98">
      <c r="A98" s="18">
        <f>IF(F98&lt;&gt;"",ROW()-4,"")</f>
        <v/>
      </c>
      <c r="B98" s="15" t="n"/>
      <c r="C98" s="4" t="n"/>
      <c r="D98" s="4" t="n"/>
      <c r="E98" s="4" t="n"/>
      <c r="F98" s="16" t="n"/>
      <c r="G98" s="4" t="n"/>
      <c r="H98" s="4" t="n"/>
      <c r="I98" s="4" t="n"/>
      <c r="J98" s="4" t="n"/>
    </row>
    <row r="99">
      <c r="A99" s="14">
        <f>IF(F99&lt;&gt;"",ROW()-4,"")</f>
        <v/>
      </c>
      <c r="B99" s="15" t="n"/>
      <c r="C99" s="4" t="n"/>
      <c r="D99" s="4" t="n"/>
      <c r="E99" s="4" t="n"/>
      <c r="F99" s="16" t="n"/>
      <c r="G99" s="4" t="n"/>
      <c r="H99" s="4" t="n"/>
      <c r="I99" s="4" t="n"/>
      <c r="J99" s="4" t="n"/>
    </row>
    <row r="100">
      <c r="A100" s="18">
        <f>IF(F100&lt;&gt;"",ROW()-4,"")</f>
        <v/>
      </c>
      <c r="B100" s="15" t="n"/>
      <c r="C100" s="4" t="n"/>
      <c r="D100" s="4" t="n"/>
      <c r="E100" s="4" t="n"/>
      <c r="F100" s="16" t="n"/>
      <c r="G100" s="4" t="n"/>
      <c r="H100" s="4" t="n"/>
      <c r="I100" s="4" t="n"/>
      <c r="J100" s="4" t="n"/>
    </row>
    <row r="101">
      <c r="A101" s="14">
        <f>IF(F101&lt;&gt;"",ROW()-4,"")</f>
        <v/>
      </c>
      <c r="B101" s="15" t="n"/>
      <c r="C101" s="4" t="n"/>
      <c r="D101" s="4" t="n"/>
      <c r="E101" s="4" t="n"/>
      <c r="F101" s="16" t="n"/>
      <c r="G101" s="4" t="n"/>
      <c r="H101" s="4" t="n"/>
      <c r="I101" s="4" t="n"/>
      <c r="J101" s="4" t="n"/>
    </row>
    <row r="102">
      <c r="A102" s="18">
        <f>IF(F102&lt;&gt;"",ROW()-4,"")</f>
        <v/>
      </c>
      <c r="B102" s="15" t="n"/>
      <c r="C102" s="4" t="n"/>
      <c r="D102" s="4" t="n"/>
      <c r="E102" s="4" t="n"/>
      <c r="F102" s="16" t="n"/>
      <c r="G102" s="4" t="n"/>
      <c r="H102" s="4" t="n"/>
      <c r="I102" s="4" t="n"/>
      <c r="J102" s="4" t="n"/>
    </row>
    <row r="103">
      <c r="A103" s="14">
        <f>IF(F103&lt;&gt;"",ROW()-4,"")</f>
        <v/>
      </c>
      <c r="B103" s="15" t="n"/>
      <c r="C103" s="4" t="n"/>
      <c r="D103" s="4" t="n"/>
      <c r="E103" s="4" t="n"/>
      <c r="F103" s="16" t="n"/>
      <c r="G103" s="4" t="n"/>
      <c r="H103" s="4" t="n"/>
      <c r="I103" s="4" t="n"/>
      <c r="J103" s="4" t="n"/>
    </row>
    <row r="104">
      <c r="A104" s="18">
        <f>IF(F104&lt;&gt;"",ROW()-4,"")</f>
        <v/>
      </c>
      <c r="B104" s="15" t="n"/>
      <c r="C104" s="4" t="n"/>
      <c r="D104" s="4" t="n"/>
      <c r="E104" s="4" t="n"/>
      <c r="F104" s="16" t="n"/>
      <c r="G104" s="4" t="n"/>
      <c r="H104" s="4" t="n"/>
      <c r="I104" s="4" t="n"/>
      <c r="J104" s="4" t="n"/>
    </row>
    <row r="105">
      <c r="A105" s="14">
        <f>IF(F105&lt;&gt;"",ROW()-4,"")</f>
        <v/>
      </c>
      <c r="B105" s="15" t="n"/>
      <c r="C105" s="4" t="n"/>
      <c r="D105" s="4" t="n"/>
      <c r="E105" s="4" t="n"/>
      <c r="F105" s="16" t="n"/>
      <c r="G105" s="4" t="n"/>
      <c r="H105" s="4" t="n"/>
      <c r="I105" s="4" t="n"/>
      <c r="J105" s="4" t="n"/>
    </row>
    <row r="106">
      <c r="A106" s="18">
        <f>IF(F106&lt;&gt;"",ROW()-4,"")</f>
        <v/>
      </c>
      <c r="B106" s="15" t="n"/>
      <c r="C106" s="4" t="n"/>
      <c r="D106" s="4" t="n"/>
      <c r="E106" s="4" t="n"/>
      <c r="F106" s="16" t="n"/>
      <c r="G106" s="4" t="n"/>
      <c r="H106" s="4" t="n"/>
      <c r="I106" s="4" t="n"/>
      <c r="J106" s="4" t="n"/>
    </row>
    <row r="107">
      <c r="A107" s="14">
        <f>IF(F107&lt;&gt;"",ROW()-4,"")</f>
        <v/>
      </c>
      <c r="B107" s="15" t="n"/>
      <c r="C107" s="4" t="n"/>
      <c r="D107" s="4" t="n"/>
      <c r="E107" s="4" t="n"/>
      <c r="F107" s="16" t="n"/>
      <c r="G107" s="4" t="n"/>
      <c r="H107" s="4" t="n"/>
      <c r="I107" s="4" t="n"/>
      <c r="J107" s="4" t="n"/>
    </row>
    <row r="108">
      <c r="A108" s="18">
        <f>IF(F108&lt;&gt;"",ROW()-4,"")</f>
        <v/>
      </c>
      <c r="B108" s="15" t="n"/>
      <c r="C108" s="4" t="n"/>
      <c r="D108" s="4" t="n"/>
      <c r="E108" s="4" t="n"/>
      <c r="F108" s="16" t="n"/>
      <c r="G108" s="4" t="n"/>
      <c r="H108" s="4" t="n"/>
      <c r="I108" s="4" t="n"/>
      <c r="J108" s="4" t="n"/>
    </row>
    <row r="109">
      <c r="A109" s="14">
        <f>IF(F109&lt;&gt;"",ROW()-4,"")</f>
        <v/>
      </c>
      <c r="B109" s="15" t="n"/>
      <c r="C109" s="4" t="n"/>
      <c r="D109" s="4" t="n"/>
      <c r="E109" s="4" t="n"/>
      <c r="F109" s="16" t="n"/>
      <c r="G109" s="4" t="n"/>
      <c r="H109" s="4" t="n"/>
      <c r="I109" s="4" t="n"/>
      <c r="J109" s="4" t="n"/>
    </row>
    <row r="110">
      <c r="A110" s="18">
        <f>IF(F110&lt;&gt;"",ROW()-4,"")</f>
        <v/>
      </c>
      <c r="B110" s="15" t="n"/>
      <c r="C110" s="4" t="n"/>
      <c r="D110" s="4" t="n"/>
      <c r="E110" s="4" t="n"/>
      <c r="F110" s="16" t="n"/>
      <c r="G110" s="4" t="n"/>
      <c r="H110" s="4" t="n"/>
      <c r="I110" s="4" t="n"/>
      <c r="J110" s="4" t="n"/>
    </row>
    <row r="111">
      <c r="A111" s="14">
        <f>IF(F111&lt;&gt;"",ROW()-4,"")</f>
        <v/>
      </c>
      <c r="B111" s="15" t="n"/>
      <c r="C111" s="4" t="n"/>
      <c r="D111" s="4" t="n"/>
      <c r="E111" s="4" t="n"/>
      <c r="F111" s="16" t="n"/>
      <c r="G111" s="4" t="n"/>
      <c r="H111" s="4" t="n"/>
      <c r="I111" s="4" t="n"/>
      <c r="J111" s="4" t="n"/>
    </row>
    <row r="112">
      <c r="A112" s="18">
        <f>IF(F112&lt;&gt;"",ROW()-4,"")</f>
        <v/>
      </c>
      <c r="B112" s="15" t="n"/>
      <c r="C112" s="4" t="n"/>
      <c r="D112" s="4" t="n"/>
      <c r="E112" s="4" t="n"/>
      <c r="F112" s="16" t="n"/>
      <c r="G112" s="4" t="n"/>
      <c r="H112" s="4" t="n"/>
      <c r="I112" s="4" t="n"/>
      <c r="J112" s="4" t="n"/>
    </row>
    <row r="113">
      <c r="A113" s="14">
        <f>IF(F113&lt;&gt;"",ROW()-4,"")</f>
        <v/>
      </c>
      <c r="B113" s="15" t="n"/>
      <c r="C113" s="4" t="n"/>
      <c r="D113" s="4" t="n"/>
      <c r="E113" s="4" t="n"/>
      <c r="F113" s="16" t="n"/>
      <c r="G113" s="4" t="n"/>
      <c r="H113" s="4" t="n"/>
      <c r="I113" s="4" t="n"/>
      <c r="J113" s="4" t="n"/>
    </row>
    <row r="114">
      <c r="A114" s="18">
        <f>IF(F114&lt;&gt;"",ROW()-4,"")</f>
        <v/>
      </c>
      <c r="B114" s="15" t="n"/>
      <c r="C114" s="4" t="n"/>
      <c r="D114" s="4" t="n"/>
      <c r="E114" s="4" t="n"/>
      <c r="F114" s="16" t="n"/>
      <c r="G114" s="4" t="n"/>
      <c r="H114" s="4" t="n"/>
      <c r="I114" s="4" t="n"/>
      <c r="J114" s="4" t="n"/>
    </row>
    <row r="115">
      <c r="A115" s="14">
        <f>IF(F115&lt;&gt;"",ROW()-4,"")</f>
        <v/>
      </c>
      <c r="B115" s="15" t="n"/>
      <c r="C115" s="4" t="n"/>
      <c r="D115" s="4" t="n"/>
      <c r="E115" s="4" t="n"/>
      <c r="F115" s="16" t="n"/>
      <c r="G115" s="4" t="n"/>
      <c r="H115" s="4" t="n"/>
      <c r="I115" s="4" t="n"/>
      <c r="J115" s="4" t="n"/>
    </row>
    <row r="116">
      <c r="A116" s="18">
        <f>IF(F116&lt;&gt;"",ROW()-4,"")</f>
        <v/>
      </c>
      <c r="B116" s="15" t="n"/>
      <c r="C116" s="4" t="n"/>
      <c r="D116" s="4" t="n"/>
      <c r="E116" s="4" t="n"/>
      <c r="F116" s="16" t="n"/>
      <c r="G116" s="4" t="n"/>
      <c r="H116" s="4" t="n"/>
      <c r="I116" s="4" t="n"/>
      <c r="J116" s="4" t="n"/>
    </row>
    <row r="117">
      <c r="A117" s="14">
        <f>IF(F117&lt;&gt;"",ROW()-4,"")</f>
        <v/>
      </c>
      <c r="B117" s="15" t="n"/>
      <c r="C117" s="4" t="n"/>
      <c r="D117" s="4" t="n"/>
      <c r="E117" s="4" t="n"/>
      <c r="F117" s="16" t="n"/>
      <c r="G117" s="4" t="n"/>
      <c r="H117" s="4" t="n"/>
      <c r="I117" s="4" t="n"/>
      <c r="J117" s="4" t="n"/>
    </row>
    <row r="118">
      <c r="A118" s="18">
        <f>IF(F118&lt;&gt;"",ROW()-4,"")</f>
        <v/>
      </c>
      <c r="B118" s="15" t="n"/>
      <c r="C118" s="4" t="n"/>
      <c r="D118" s="4" t="n"/>
      <c r="E118" s="4" t="n"/>
      <c r="F118" s="16" t="n"/>
      <c r="G118" s="4" t="n"/>
      <c r="H118" s="4" t="n"/>
      <c r="I118" s="4" t="n"/>
      <c r="J118" s="4" t="n"/>
    </row>
    <row r="119">
      <c r="A119" s="14">
        <f>IF(F119&lt;&gt;"",ROW()-4,"")</f>
        <v/>
      </c>
      <c r="B119" s="15" t="n"/>
      <c r="C119" s="4" t="n"/>
      <c r="D119" s="4" t="n"/>
      <c r="E119" s="4" t="n"/>
      <c r="F119" s="16" t="n"/>
      <c r="G119" s="4" t="n"/>
      <c r="H119" s="4" t="n"/>
      <c r="I119" s="4" t="n"/>
      <c r="J119" s="4" t="n"/>
    </row>
    <row r="120">
      <c r="A120" s="18">
        <f>IF(F120&lt;&gt;"",ROW()-4,"")</f>
        <v/>
      </c>
      <c r="B120" s="15" t="n"/>
      <c r="C120" s="4" t="n"/>
      <c r="D120" s="4" t="n"/>
      <c r="E120" s="4" t="n"/>
      <c r="F120" s="16" t="n"/>
      <c r="G120" s="4" t="n"/>
      <c r="H120" s="4" t="n"/>
      <c r="I120" s="4" t="n"/>
      <c r="J120" s="4" t="n"/>
    </row>
    <row r="121">
      <c r="A121" s="14">
        <f>IF(F121&lt;&gt;"",ROW()-4,"")</f>
        <v/>
      </c>
      <c r="B121" s="15" t="n"/>
      <c r="C121" s="4" t="n"/>
      <c r="D121" s="4" t="n"/>
      <c r="E121" s="4" t="n"/>
      <c r="F121" s="16" t="n"/>
      <c r="G121" s="4" t="n"/>
      <c r="H121" s="4" t="n"/>
      <c r="I121" s="4" t="n"/>
      <c r="J121" s="4" t="n"/>
    </row>
    <row r="122">
      <c r="A122" s="18">
        <f>IF(F122&lt;&gt;"",ROW()-4,"")</f>
        <v/>
      </c>
      <c r="B122" s="15" t="n"/>
      <c r="C122" s="4" t="n"/>
      <c r="D122" s="4" t="n"/>
      <c r="E122" s="4" t="n"/>
      <c r="F122" s="16" t="n"/>
      <c r="G122" s="4" t="n"/>
      <c r="H122" s="4" t="n"/>
      <c r="I122" s="4" t="n"/>
      <c r="J122" s="4" t="n"/>
    </row>
    <row r="123">
      <c r="A123" s="14">
        <f>IF(F123&lt;&gt;"",ROW()-4,"")</f>
        <v/>
      </c>
      <c r="B123" s="15" t="n"/>
      <c r="C123" s="4" t="n"/>
      <c r="D123" s="4" t="n"/>
      <c r="E123" s="4" t="n"/>
      <c r="F123" s="16" t="n"/>
      <c r="G123" s="4" t="n"/>
      <c r="H123" s="4" t="n"/>
      <c r="I123" s="4" t="n"/>
      <c r="J123" s="4" t="n"/>
    </row>
    <row r="124">
      <c r="A124" s="18">
        <f>IF(F124&lt;&gt;"",ROW()-4,"")</f>
        <v/>
      </c>
      <c r="B124" s="15" t="n"/>
      <c r="C124" s="4" t="n"/>
      <c r="D124" s="4" t="n"/>
      <c r="E124" s="4" t="n"/>
      <c r="F124" s="16" t="n"/>
      <c r="G124" s="4" t="n"/>
      <c r="H124" s="4" t="n"/>
      <c r="I124" s="4" t="n"/>
      <c r="J124" s="4" t="n"/>
    </row>
    <row r="125">
      <c r="A125" s="14">
        <f>IF(F125&lt;&gt;"",ROW()-4,"")</f>
        <v/>
      </c>
      <c r="B125" s="15" t="n"/>
      <c r="C125" s="4" t="n"/>
      <c r="D125" s="4" t="n"/>
      <c r="E125" s="4" t="n"/>
      <c r="F125" s="16" t="n"/>
      <c r="G125" s="4" t="n"/>
      <c r="H125" s="4" t="n"/>
      <c r="I125" s="4" t="n"/>
      <c r="J125" s="4" t="n"/>
    </row>
    <row r="126">
      <c r="A126" s="18">
        <f>IF(F126&lt;&gt;"",ROW()-4,"")</f>
        <v/>
      </c>
      <c r="B126" s="15" t="n"/>
      <c r="C126" s="4" t="n"/>
      <c r="D126" s="4" t="n"/>
      <c r="E126" s="4" t="n"/>
      <c r="F126" s="16" t="n"/>
      <c r="G126" s="4" t="n"/>
      <c r="H126" s="4" t="n"/>
      <c r="I126" s="4" t="n"/>
      <c r="J126" s="4" t="n"/>
    </row>
    <row r="127">
      <c r="A127" s="14">
        <f>IF(F127&lt;&gt;"",ROW()-4,"")</f>
        <v/>
      </c>
      <c r="B127" s="15" t="n"/>
      <c r="C127" s="4" t="n"/>
      <c r="D127" s="4" t="n"/>
      <c r="E127" s="4" t="n"/>
      <c r="F127" s="16" t="n"/>
      <c r="G127" s="4" t="n"/>
      <c r="H127" s="4" t="n"/>
      <c r="I127" s="4" t="n"/>
      <c r="J127" s="4" t="n"/>
    </row>
    <row r="128">
      <c r="A128" s="18">
        <f>IF(F128&lt;&gt;"",ROW()-4,"")</f>
        <v/>
      </c>
      <c r="B128" s="15" t="n"/>
      <c r="C128" s="4" t="n"/>
      <c r="D128" s="4" t="n"/>
      <c r="E128" s="4" t="n"/>
      <c r="F128" s="16" t="n"/>
      <c r="G128" s="4" t="n"/>
      <c r="H128" s="4" t="n"/>
      <c r="I128" s="4" t="n"/>
      <c r="J128" s="4" t="n"/>
    </row>
    <row r="129">
      <c r="A129" s="14">
        <f>IF(F129&lt;&gt;"",ROW()-4,"")</f>
        <v/>
      </c>
      <c r="B129" s="15" t="n"/>
      <c r="C129" s="4" t="n"/>
      <c r="D129" s="4" t="n"/>
      <c r="E129" s="4" t="n"/>
      <c r="F129" s="16" t="n"/>
      <c r="G129" s="4" t="n"/>
      <c r="H129" s="4" t="n"/>
      <c r="I129" s="4" t="n"/>
      <c r="J129" s="4" t="n"/>
    </row>
    <row r="130">
      <c r="A130" s="18">
        <f>IF(F130&lt;&gt;"",ROW()-4,"")</f>
        <v/>
      </c>
      <c r="B130" s="15" t="n"/>
      <c r="C130" s="4" t="n"/>
      <c r="D130" s="4" t="n"/>
      <c r="E130" s="4" t="n"/>
      <c r="F130" s="16" t="n"/>
      <c r="G130" s="4" t="n"/>
      <c r="H130" s="4" t="n"/>
      <c r="I130" s="4" t="n"/>
      <c r="J130" s="4" t="n"/>
    </row>
    <row r="131">
      <c r="A131" s="14">
        <f>IF(F131&lt;&gt;"",ROW()-4,"")</f>
        <v/>
      </c>
      <c r="B131" s="15" t="n"/>
      <c r="C131" s="4" t="n"/>
      <c r="D131" s="4" t="n"/>
      <c r="E131" s="4" t="n"/>
      <c r="F131" s="16" t="n"/>
      <c r="G131" s="4" t="n"/>
      <c r="H131" s="4" t="n"/>
      <c r="I131" s="4" t="n"/>
      <c r="J131" s="4" t="n"/>
    </row>
    <row r="132">
      <c r="A132" s="18">
        <f>IF(F132&lt;&gt;"",ROW()-4,"")</f>
        <v/>
      </c>
      <c r="B132" s="15" t="n"/>
      <c r="C132" s="4" t="n"/>
      <c r="D132" s="4" t="n"/>
      <c r="E132" s="4" t="n"/>
      <c r="F132" s="16" t="n"/>
      <c r="G132" s="4" t="n"/>
      <c r="H132" s="4" t="n"/>
      <c r="I132" s="4" t="n"/>
      <c r="J132" s="4" t="n"/>
    </row>
    <row r="133">
      <c r="A133" s="14">
        <f>IF(F133&lt;&gt;"",ROW()-4,"")</f>
        <v/>
      </c>
      <c r="B133" s="15" t="n"/>
      <c r="C133" s="4" t="n"/>
      <c r="D133" s="4" t="n"/>
      <c r="E133" s="4" t="n"/>
      <c r="F133" s="16" t="n"/>
      <c r="G133" s="4" t="n"/>
      <c r="H133" s="4" t="n"/>
      <c r="I133" s="4" t="n"/>
      <c r="J133" s="4" t="n"/>
    </row>
    <row r="134">
      <c r="A134" s="18">
        <f>IF(F134&lt;&gt;"",ROW()-4,"")</f>
        <v/>
      </c>
      <c r="B134" s="15" t="n"/>
      <c r="C134" s="4" t="n"/>
      <c r="D134" s="4" t="n"/>
      <c r="E134" s="4" t="n"/>
      <c r="F134" s="16" t="n"/>
      <c r="G134" s="4" t="n"/>
      <c r="H134" s="4" t="n"/>
      <c r="I134" s="4" t="n"/>
      <c r="J134" s="4" t="n"/>
    </row>
    <row r="135">
      <c r="A135" s="14">
        <f>IF(F135&lt;&gt;"",ROW()-4,"")</f>
        <v/>
      </c>
      <c r="B135" s="15" t="n"/>
      <c r="C135" s="4" t="n"/>
      <c r="D135" s="4" t="n"/>
      <c r="E135" s="4" t="n"/>
      <c r="F135" s="16" t="n"/>
      <c r="G135" s="4" t="n"/>
      <c r="H135" s="4" t="n"/>
      <c r="I135" s="4" t="n"/>
      <c r="J135" s="4" t="n"/>
    </row>
    <row r="136">
      <c r="A136" s="18">
        <f>IF(F136&lt;&gt;"",ROW()-4,"")</f>
        <v/>
      </c>
      <c r="B136" s="15" t="n"/>
      <c r="C136" s="4" t="n"/>
      <c r="D136" s="4" t="n"/>
      <c r="E136" s="4" t="n"/>
      <c r="F136" s="16" t="n"/>
      <c r="G136" s="4" t="n"/>
      <c r="H136" s="4" t="n"/>
      <c r="I136" s="4" t="n"/>
      <c r="J136" s="4" t="n"/>
    </row>
    <row r="137">
      <c r="A137" s="14">
        <f>IF(F137&lt;&gt;"",ROW()-4,"")</f>
        <v/>
      </c>
      <c r="B137" s="15" t="n"/>
      <c r="C137" s="4" t="n"/>
      <c r="D137" s="4" t="n"/>
      <c r="E137" s="4" t="n"/>
      <c r="F137" s="16" t="n"/>
      <c r="G137" s="4" t="n"/>
      <c r="H137" s="4" t="n"/>
      <c r="I137" s="4" t="n"/>
      <c r="J137" s="4" t="n"/>
    </row>
    <row r="138">
      <c r="A138" s="18">
        <f>IF(F138&lt;&gt;"",ROW()-4,"")</f>
        <v/>
      </c>
      <c r="B138" s="15" t="n"/>
      <c r="C138" s="4" t="n"/>
      <c r="D138" s="4" t="n"/>
      <c r="E138" s="4" t="n"/>
      <c r="F138" s="16" t="n"/>
      <c r="G138" s="4" t="n"/>
      <c r="H138" s="4" t="n"/>
      <c r="I138" s="4" t="n"/>
      <c r="J138" s="4" t="n"/>
    </row>
    <row r="139">
      <c r="A139" s="14">
        <f>IF(F139&lt;&gt;"",ROW()-4,"")</f>
        <v/>
      </c>
      <c r="B139" s="15" t="n"/>
      <c r="C139" s="4" t="n"/>
      <c r="D139" s="4" t="n"/>
      <c r="E139" s="4" t="n"/>
      <c r="F139" s="16" t="n"/>
      <c r="G139" s="4" t="n"/>
      <c r="H139" s="4" t="n"/>
      <c r="I139" s="4" t="n"/>
      <c r="J139" s="4" t="n"/>
    </row>
    <row r="140">
      <c r="A140" s="18">
        <f>IF(F140&lt;&gt;"",ROW()-4,"")</f>
        <v/>
      </c>
      <c r="B140" s="15" t="n"/>
      <c r="C140" s="4" t="n"/>
      <c r="D140" s="4" t="n"/>
      <c r="E140" s="4" t="n"/>
      <c r="F140" s="16" t="n"/>
      <c r="G140" s="4" t="n"/>
      <c r="H140" s="4" t="n"/>
      <c r="I140" s="4" t="n"/>
      <c r="J140" s="4" t="n"/>
    </row>
    <row r="141">
      <c r="A141" s="14">
        <f>IF(F141&lt;&gt;"",ROW()-4,"")</f>
        <v/>
      </c>
      <c r="B141" s="15" t="n"/>
      <c r="C141" s="4" t="n"/>
      <c r="D141" s="4" t="n"/>
      <c r="E141" s="4" t="n"/>
      <c r="F141" s="16" t="n"/>
      <c r="G141" s="4" t="n"/>
      <c r="H141" s="4" t="n"/>
      <c r="I141" s="4" t="n"/>
      <c r="J141" s="4" t="n"/>
    </row>
    <row r="142">
      <c r="A142" s="18">
        <f>IF(F142&lt;&gt;"",ROW()-4,"")</f>
        <v/>
      </c>
      <c r="B142" s="15" t="n"/>
      <c r="C142" s="4" t="n"/>
      <c r="D142" s="4" t="n"/>
      <c r="E142" s="4" t="n"/>
      <c r="F142" s="16" t="n"/>
      <c r="G142" s="4" t="n"/>
      <c r="H142" s="4" t="n"/>
      <c r="I142" s="4" t="n"/>
      <c r="J142" s="4" t="n"/>
    </row>
    <row r="143">
      <c r="A143" s="14">
        <f>IF(F143&lt;&gt;"",ROW()-4,"")</f>
        <v/>
      </c>
      <c r="B143" s="15" t="n"/>
      <c r="C143" s="4" t="n"/>
      <c r="D143" s="4" t="n"/>
      <c r="E143" s="4" t="n"/>
      <c r="F143" s="16" t="n"/>
      <c r="G143" s="4" t="n"/>
      <c r="H143" s="4" t="n"/>
      <c r="I143" s="4" t="n"/>
      <c r="J143" s="4" t="n"/>
    </row>
    <row r="144">
      <c r="A144" s="18">
        <f>IF(F144&lt;&gt;"",ROW()-4,"")</f>
        <v/>
      </c>
      <c r="B144" s="15" t="n"/>
      <c r="C144" s="4" t="n"/>
      <c r="D144" s="4" t="n"/>
      <c r="E144" s="4" t="n"/>
      <c r="F144" s="16" t="n"/>
      <c r="G144" s="4" t="n"/>
      <c r="H144" s="4" t="n"/>
      <c r="I144" s="4" t="n"/>
      <c r="J144" s="4" t="n"/>
    </row>
    <row r="145">
      <c r="A145" s="14">
        <f>IF(F145&lt;&gt;"",ROW()-4,"")</f>
        <v/>
      </c>
      <c r="B145" s="15" t="n"/>
      <c r="C145" s="4" t="n"/>
      <c r="D145" s="4" t="n"/>
      <c r="E145" s="4" t="n"/>
      <c r="F145" s="16" t="n"/>
      <c r="G145" s="4" t="n"/>
      <c r="H145" s="4" t="n"/>
      <c r="I145" s="4" t="n"/>
      <c r="J145" s="4" t="n"/>
    </row>
    <row r="146">
      <c r="A146" s="18">
        <f>IF(F146&lt;&gt;"",ROW()-4,"")</f>
        <v/>
      </c>
      <c r="B146" s="15" t="n"/>
      <c r="C146" s="4" t="n"/>
      <c r="D146" s="4" t="n"/>
      <c r="E146" s="4" t="n"/>
      <c r="F146" s="16" t="n"/>
      <c r="G146" s="4" t="n"/>
      <c r="H146" s="4" t="n"/>
      <c r="I146" s="4" t="n"/>
      <c r="J146" s="4" t="n"/>
    </row>
    <row r="147">
      <c r="A147" s="14">
        <f>IF(F147&lt;&gt;"",ROW()-4,"")</f>
        <v/>
      </c>
      <c r="B147" s="15" t="n"/>
      <c r="C147" s="4" t="n"/>
      <c r="D147" s="4" t="n"/>
      <c r="E147" s="4" t="n"/>
      <c r="F147" s="16" t="n"/>
      <c r="G147" s="4" t="n"/>
      <c r="H147" s="4" t="n"/>
      <c r="I147" s="4" t="n"/>
      <c r="J147" s="4" t="n"/>
    </row>
    <row r="148">
      <c r="A148" s="18">
        <f>IF(F148&lt;&gt;"",ROW()-4,"")</f>
        <v/>
      </c>
      <c r="B148" s="15" t="n"/>
      <c r="C148" s="4" t="n"/>
      <c r="D148" s="4" t="n"/>
      <c r="E148" s="4" t="n"/>
      <c r="F148" s="16" t="n"/>
      <c r="G148" s="4" t="n"/>
      <c r="H148" s="4" t="n"/>
      <c r="I148" s="4" t="n"/>
      <c r="J148" s="4" t="n"/>
    </row>
    <row r="149">
      <c r="A149" s="14">
        <f>IF(F149&lt;&gt;"",ROW()-4,"")</f>
        <v/>
      </c>
      <c r="B149" s="15" t="n"/>
      <c r="C149" s="4" t="n"/>
      <c r="D149" s="4" t="n"/>
      <c r="E149" s="4" t="n"/>
      <c r="F149" s="16" t="n"/>
      <c r="G149" s="4" t="n"/>
      <c r="H149" s="4" t="n"/>
      <c r="I149" s="4" t="n"/>
      <c r="J149" s="4" t="n"/>
    </row>
    <row r="150">
      <c r="A150" s="18">
        <f>IF(F150&lt;&gt;"",ROW()-4,"")</f>
        <v/>
      </c>
      <c r="B150" s="15" t="n"/>
      <c r="C150" s="4" t="n"/>
      <c r="D150" s="4" t="n"/>
      <c r="E150" s="4" t="n"/>
      <c r="F150" s="16" t="n"/>
      <c r="G150" s="4" t="n"/>
      <c r="H150" s="4" t="n"/>
      <c r="I150" s="4" t="n"/>
      <c r="J150" s="4" t="n"/>
    </row>
    <row r="151">
      <c r="A151" s="14">
        <f>IF(F151&lt;&gt;"",ROW()-4,"")</f>
        <v/>
      </c>
      <c r="B151" s="15" t="n"/>
      <c r="C151" s="4" t="n"/>
      <c r="D151" s="4" t="n"/>
      <c r="E151" s="4" t="n"/>
      <c r="F151" s="16" t="n"/>
      <c r="G151" s="4" t="n"/>
      <c r="H151" s="4" t="n"/>
      <c r="I151" s="4" t="n"/>
      <c r="J151" s="4" t="n"/>
    </row>
    <row r="152">
      <c r="A152" s="18">
        <f>IF(F152&lt;&gt;"",ROW()-4,"")</f>
        <v/>
      </c>
      <c r="B152" s="15" t="n"/>
      <c r="C152" s="4" t="n"/>
      <c r="D152" s="4" t="n"/>
      <c r="E152" s="4" t="n"/>
      <c r="F152" s="16" t="n"/>
      <c r="G152" s="4" t="n"/>
      <c r="H152" s="4" t="n"/>
      <c r="I152" s="4" t="n"/>
      <c r="J152" s="4" t="n"/>
    </row>
    <row r="153">
      <c r="A153" s="14">
        <f>IF(F153&lt;&gt;"",ROW()-4,"")</f>
        <v/>
      </c>
      <c r="B153" s="15" t="n"/>
      <c r="C153" s="4" t="n"/>
      <c r="D153" s="4" t="n"/>
      <c r="E153" s="4" t="n"/>
      <c r="F153" s="16" t="n"/>
      <c r="G153" s="4" t="n"/>
      <c r="H153" s="4" t="n"/>
      <c r="I153" s="4" t="n"/>
      <c r="J153" s="4" t="n"/>
    </row>
    <row r="154">
      <c r="A154" s="18">
        <f>IF(F154&lt;&gt;"",ROW()-4,"")</f>
        <v/>
      </c>
      <c r="B154" s="15" t="n"/>
      <c r="C154" s="4" t="n"/>
      <c r="D154" s="4" t="n"/>
      <c r="E154" s="4" t="n"/>
      <c r="F154" s="16" t="n"/>
      <c r="G154" s="4" t="n"/>
      <c r="H154" s="4" t="n"/>
      <c r="I154" s="4" t="n"/>
      <c r="J154" s="4" t="n"/>
    </row>
    <row r="155">
      <c r="A155" s="14">
        <f>IF(F155&lt;&gt;"",ROW()-4,"")</f>
        <v/>
      </c>
      <c r="B155" s="15" t="n"/>
      <c r="C155" s="4" t="n"/>
      <c r="D155" s="4" t="n"/>
      <c r="E155" s="4" t="n"/>
      <c r="F155" s="16" t="n"/>
      <c r="G155" s="4" t="n"/>
      <c r="H155" s="4" t="n"/>
      <c r="I155" s="4" t="n"/>
      <c r="J155" s="4" t="n"/>
    </row>
    <row r="156">
      <c r="A156" s="18">
        <f>IF(F156&lt;&gt;"",ROW()-4,"")</f>
        <v/>
      </c>
      <c r="B156" s="15" t="n"/>
      <c r="C156" s="4" t="n"/>
      <c r="D156" s="4" t="n"/>
      <c r="E156" s="4" t="n"/>
      <c r="F156" s="16" t="n"/>
      <c r="G156" s="4" t="n"/>
      <c r="H156" s="4" t="n"/>
      <c r="I156" s="4" t="n"/>
      <c r="J156" s="4" t="n"/>
    </row>
    <row r="157">
      <c r="A157" s="14">
        <f>IF(F157&lt;&gt;"",ROW()-4,"")</f>
        <v/>
      </c>
      <c r="B157" s="15" t="n"/>
      <c r="C157" s="4" t="n"/>
      <c r="D157" s="4" t="n"/>
      <c r="E157" s="4" t="n"/>
      <c r="F157" s="16" t="n"/>
      <c r="G157" s="4" t="n"/>
      <c r="H157" s="4" t="n"/>
      <c r="I157" s="4" t="n"/>
      <c r="J157" s="4" t="n"/>
    </row>
    <row r="158">
      <c r="A158" s="18">
        <f>IF(F158&lt;&gt;"",ROW()-4,"")</f>
        <v/>
      </c>
      <c r="B158" s="15" t="n"/>
      <c r="C158" s="4" t="n"/>
      <c r="D158" s="4" t="n"/>
      <c r="E158" s="4" t="n"/>
      <c r="F158" s="16" t="n"/>
      <c r="G158" s="4" t="n"/>
      <c r="H158" s="4" t="n"/>
      <c r="I158" s="4" t="n"/>
      <c r="J158" s="4" t="n"/>
    </row>
    <row r="159">
      <c r="A159" s="14">
        <f>IF(F159&lt;&gt;"",ROW()-4,"")</f>
        <v/>
      </c>
      <c r="B159" s="15" t="n"/>
      <c r="C159" s="4" t="n"/>
      <c r="D159" s="4" t="n"/>
      <c r="E159" s="4" t="n"/>
      <c r="F159" s="16" t="n"/>
      <c r="G159" s="4" t="n"/>
      <c r="H159" s="4" t="n"/>
      <c r="I159" s="4" t="n"/>
      <c r="J159" s="4" t="n"/>
    </row>
    <row r="160">
      <c r="A160" s="18">
        <f>IF(F160&lt;&gt;"",ROW()-4,"")</f>
        <v/>
      </c>
      <c r="B160" s="15" t="n"/>
      <c r="C160" s="4" t="n"/>
      <c r="D160" s="4" t="n"/>
      <c r="E160" s="4" t="n"/>
      <c r="F160" s="16" t="n"/>
      <c r="G160" s="4" t="n"/>
      <c r="H160" s="4" t="n"/>
      <c r="I160" s="4" t="n"/>
      <c r="J160" s="4" t="n"/>
    </row>
    <row r="161">
      <c r="A161" s="14">
        <f>IF(F161&lt;&gt;"",ROW()-4,"")</f>
        <v/>
      </c>
      <c r="B161" s="15" t="n"/>
      <c r="C161" s="4" t="n"/>
      <c r="D161" s="4" t="n"/>
      <c r="E161" s="4" t="n"/>
      <c r="F161" s="16" t="n"/>
      <c r="G161" s="4" t="n"/>
      <c r="H161" s="4" t="n"/>
      <c r="I161" s="4" t="n"/>
      <c r="J161" s="4" t="n"/>
    </row>
    <row r="162">
      <c r="A162" s="18">
        <f>IF(F162&lt;&gt;"",ROW()-4,"")</f>
        <v/>
      </c>
      <c r="B162" s="15" t="n"/>
      <c r="C162" s="4" t="n"/>
      <c r="D162" s="4" t="n"/>
      <c r="E162" s="4" t="n"/>
      <c r="F162" s="16" t="n"/>
      <c r="G162" s="4" t="n"/>
      <c r="H162" s="4" t="n"/>
      <c r="I162" s="4" t="n"/>
      <c r="J162" s="4" t="n"/>
    </row>
    <row r="163">
      <c r="A163" s="14">
        <f>IF(F163&lt;&gt;"",ROW()-4,"")</f>
        <v/>
      </c>
      <c r="B163" s="15" t="n"/>
      <c r="C163" s="4" t="n"/>
      <c r="D163" s="4" t="n"/>
      <c r="E163" s="4" t="n"/>
      <c r="F163" s="16" t="n"/>
      <c r="G163" s="4" t="n"/>
      <c r="H163" s="4" t="n"/>
      <c r="I163" s="4" t="n"/>
      <c r="J163" s="4" t="n"/>
    </row>
    <row r="164">
      <c r="A164" s="18">
        <f>IF(F164&lt;&gt;"",ROW()-4,"")</f>
        <v/>
      </c>
      <c r="B164" s="15" t="n"/>
      <c r="C164" s="4" t="n"/>
      <c r="D164" s="4" t="n"/>
      <c r="E164" s="4" t="n"/>
      <c r="F164" s="16" t="n"/>
      <c r="G164" s="4" t="n"/>
      <c r="H164" s="4" t="n"/>
      <c r="I164" s="4" t="n"/>
      <c r="J164" s="4" t="n"/>
    </row>
    <row r="165">
      <c r="A165" s="14">
        <f>IF(F165&lt;&gt;"",ROW()-4,"")</f>
        <v/>
      </c>
      <c r="B165" s="15" t="n"/>
      <c r="C165" s="4" t="n"/>
      <c r="D165" s="4" t="n"/>
      <c r="E165" s="4" t="n"/>
      <c r="F165" s="16" t="n"/>
      <c r="G165" s="4" t="n"/>
      <c r="H165" s="4" t="n"/>
      <c r="I165" s="4" t="n"/>
      <c r="J165" s="4" t="n"/>
    </row>
    <row r="166">
      <c r="A166" s="18">
        <f>IF(F166&lt;&gt;"",ROW()-4,"")</f>
        <v/>
      </c>
      <c r="B166" s="15" t="n"/>
      <c r="C166" s="4" t="n"/>
      <c r="D166" s="4" t="n"/>
      <c r="E166" s="4" t="n"/>
      <c r="F166" s="16" t="n"/>
      <c r="G166" s="4" t="n"/>
      <c r="H166" s="4" t="n"/>
      <c r="I166" s="4" t="n"/>
      <c r="J166" s="4" t="n"/>
    </row>
    <row r="167">
      <c r="A167" s="14">
        <f>IF(F167&lt;&gt;"",ROW()-4,"")</f>
        <v/>
      </c>
      <c r="B167" s="15" t="n"/>
      <c r="C167" s="4" t="n"/>
      <c r="D167" s="4" t="n"/>
      <c r="E167" s="4" t="n"/>
      <c r="F167" s="16" t="n"/>
      <c r="G167" s="4" t="n"/>
      <c r="H167" s="4" t="n"/>
      <c r="I167" s="4" t="n"/>
      <c r="J167" s="4" t="n"/>
    </row>
    <row r="168">
      <c r="A168" s="18">
        <f>IF(F168&lt;&gt;"",ROW()-4,"")</f>
        <v/>
      </c>
      <c r="B168" s="15" t="n"/>
      <c r="C168" s="4" t="n"/>
      <c r="D168" s="4" t="n"/>
      <c r="E168" s="4" t="n"/>
      <c r="F168" s="16" t="n"/>
      <c r="G168" s="4" t="n"/>
      <c r="H168" s="4" t="n"/>
      <c r="I168" s="4" t="n"/>
      <c r="J168" s="4" t="n"/>
    </row>
    <row r="169">
      <c r="A169" s="14">
        <f>IF(F169&lt;&gt;"",ROW()-4,"")</f>
        <v/>
      </c>
      <c r="B169" s="15" t="n"/>
      <c r="C169" s="4" t="n"/>
      <c r="D169" s="4" t="n"/>
      <c r="E169" s="4" t="n"/>
      <c r="F169" s="16" t="n"/>
      <c r="G169" s="4" t="n"/>
      <c r="H169" s="4" t="n"/>
      <c r="I169" s="4" t="n"/>
      <c r="J169" s="4" t="n"/>
    </row>
    <row r="170">
      <c r="A170" s="18">
        <f>IF(F170&lt;&gt;"",ROW()-4,"")</f>
        <v/>
      </c>
      <c r="B170" s="15" t="n"/>
      <c r="C170" s="4" t="n"/>
      <c r="D170" s="4" t="n"/>
      <c r="E170" s="4" t="n"/>
      <c r="F170" s="16" t="n"/>
      <c r="G170" s="4" t="n"/>
      <c r="H170" s="4" t="n"/>
      <c r="I170" s="4" t="n"/>
      <c r="J170" s="4" t="n"/>
    </row>
    <row r="171">
      <c r="A171" s="14">
        <f>IF(F171&lt;&gt;"",ROW()-4,"")</f>
        <v/>
      </c>
      <c r="B171" s="15" t="n"/>
      <c r="C171" s="4" t="n"/>
      <c r="D171" s="4" t="n"/>
      <c r="E171" s="4" t="n"/>
      <c r="F171" s="16" t="n"/>
      <c r="G171" s="4" t="n"/>
      <c r="H171" s="4" t="n"/>
      <c r="I171" s="4" t="n"/>
      <c r="J171" s="4" t="n"/>
    </row>
    <row r="172">
      <c r="A172" s="18">
        <f>IF(F172&lt;&gt;"",ROW()-4,"")</f>
        <v/>
      </c>
      <c r="B172" s="15" t="n"/>
      <c r="C172" s="4" t="n"/>
      <c r="D172" s="4" t="n"/>
      <c r="E172" s="4" t="n"/>
      <c r="F172" s="16" t="n"/>
      <c r="G172" s="4" t="n"/>
      <c r="H172" s="4" t="n"/>
      <c r="I172" s="4" t="n"/>
      <c r="J172" s="4" t="n"/>
    </row>
    <row r="173">
      <c r="A173" s="14">
        <f>IF(F173&lt;&gt;"",ROW()-4,"")</f>
        <v/>
      </c>
      <c r="B173" s="15" t="n"/>
      <c r="C173" s="4" t="n"/>
      <c r="D173" s="4" t="n"/>
      <c r="E173" s="4" t="n"/>
      <c r="F173" s="16" t="n"/>
      <c r="G173" s="4" t="n"/>
      <c r="H173" s="4" t="n"/>
      <c r="I173" s="4" t="n"/>
      <c r="J173" s="4" t="n"/>
    </row>
    <row r="174">
      <c r="A174" s="18">
        <f>IF(F174&lt;&gt;"",ROW()-4,"")</f>
        <v/>
      </c>
      <c r="B174" s="15" t="n"/>
      <c r="C174" s="4" t="n"/>
      <c r="D174" s="4" t="n"/>
      <c r="E174" s="4" t="n"/>
      <c r="F174" s="16" t="n"/>
      <c r="G174" s="4" t="n"/>
      <c r="H174" s="4" t="n"/>
      <c r="I174" s="4" t="n"/>
      <c r="J174" s="4" t="n"/>
    </row>
    <row r="175">
      <c r="A175" s="14">
        <f>IF(F175&lt;&gt;"",ROW()-4,"")</f>
        <v/>
      </c>
      <c r="B175" s="15" t="n"/>
      <c r="C175" s="4" t="n"/>
      <c r="D175" s="4" t="n"/>
      <c r="E175" s="4" t="n"/>
      <c r="F175" s="16" t="n"/>
      <c r="G175" s="4" t="n"/>
      <c r="H175" s="4" t="n"/>
      <c r="I175" s="4" t="n"/>
      <c r="J175" s="4" t="n"/>
    </row>
    <row r="176">
      <c r="A176" s="18">
        <f>IF(F176&lt;&gt;"",ROW()-4,"")</f>
        <v/>
      </c>
      <c r="B176" s="15" t="n"/>
      <c r="C176" s="4" t="n"/>
      <c r="D176" s="4" t="n"/>
      <c r="E176" s="4" t="n"/>
      <c r="F176" s="16" t="n"/>
      <c r="G176" s="4" t="n"/>
      <c r="H176" s="4" t="n"/>
      <c r="I176" s="4" t="n"/>
      <c r="J176" s="4" t="n"/>
    </row>
    <row r="177">
      <c r="A177" s="14">
        <f>IF(F177&lt;&gt;"",ROW()-4,"")</f>
        <v/>
      </c>
      <c r="B177" s="15" t="n"/>
      <c r="C177" s="4" t="n"/>
      <c r="D177" s="4" t="n"/>
      <c r="E177" s="4" t="n"/>
      <c r="F177" s="16" t="n"/>
      <c r="G177" s="4" t="n"/>
      <c r="H177" s="4" t="n"/>
      <c r="I177" s="4" t="n"/>
      <c r="J177" s="4" t="n"/>
    </row>
    <row r="178">
      <c r="A178" s="18">
        <f>IF(F178&lt;&gt;"",ROW()-4,"")</f>
        <v/>
      </c>
      <c r="B178" s="15" t="n"/>
      <c r="C178" s="4" t="n"/>
      <c r="D178" s="4" t="n"/>
      <c r="E178" s="4" t="n"/>
      <c r="F178" s="16" t="n"/>
      <c r="G178" s="4" t="n"/>
      <c r="H178" s="4" t="n"/>
      <c r="I178" s="4" t="n"/>
      <c r="J178" s="4" t="n"/>
    </row>
    <row r="179">
      <c r="A179" s="14">
        <f>IF(F179&lt;&gt;"",ROW()-4,"")</f>
        <v/>
      </c>
      <c r="B179" s="15" t="n"/>
      <c r="C179" s="4" t="n"/>
      <c r="D179" s="4" t="n"/>
      <c r="E179" s="4" t="n"/>
      <c r="F179" s="16" t="n"/>
      <c r="G179" s="4" t="n"/>
      <c r="H179" s="4" t="n"/>
      <c r="I179" s="4" t="n"/>
      <c r="J179" s="4" t="n"/>
    </row>
    <row r="180">
      <c r="A180" s="18">
        <f>IF(F180&lt;&gt;"",ROW()-4,"")</f>
        <v/>
      </c>
      <c r="B180" s="15" t="n"/>
      <c r="C180" s="4" t="n"/>
      <c r="D180" s="4" t="n"/>
      <c r="E180" s="4" t="n"/>
      <c r="F180" s="16" t="n"/>
      <c r="G180" s="4" t="n"/>
      <c r="H180" s="4" t="n"/>
      <c r="I180" s="4" t="n"/>
      <c r="J180" s="4" t="n"/>
    </row>
    <row r="181">
      <c r="A181" s="14">
        <f>IF(F181&lt;&gt;"",ROW()-4,"")</f>
        <v/>
      </c>
      <c r="B181" s="15" t="n"/>
      <c r="C181" s="4" t="n"/>
      <c r="D181" s="4" t="n"/>
      <c r="E181" s="4" t="n"/>
      <c r="F181" s="16" t="n"/>
      <c r="G181" s="4" t="n"/>
      <c r="H181" s="4" t="n"/>
      <c r="I181" s="4" t="n"/>
      <c r="J181" s="4" t="n"/>
    </row>
    <row r="182">
      <c r="A182" s="18">
        <f>IF(F182&lt;&gt;"",ROW()-4,"")</f>
        <v/>
      </c>
      <c r="B182" s="15" t="n"/>
      <c r="C182" s="4" t="n"/>
      <c r="D182" s="4" t="n"/>
      <c r="E182" s="4" t="n"/>
      <c r="F182" s="16" t="n"/>
      <c r="G182" s="4" t="n"/>
      <c r="H182" s="4" t="n"/>
      <c r="I182" s="4" t="n"/>
      <c r="J182" s="4" t="n"/>
    </row>
    <row r="183">
      <c r="A183" s="14">
        <f>IF(F183&lt;&gt;"",ROW()-4,"")</f>
        <v/>
      </c>
      <c r="B183" s="15" t="n"/>
      <c r="C183" s="4" t="n"/>
      <c r="D183" s="4" t="n"/>
      <c r="E183" s="4" t="n"/>
      <c r="F183" s="16" t="n"/>
      <c r="G183" s="4" t="n"/>
      <c r="H183" s="4" t="n"/>
      <c r="I183" s="4" t="n"/>
      <c r="J183" s="4" t="n"/>
    </row>
    <row r="184">
      <c r="A184" s="18">
        <f>IF(F184&lt;&gt;"",ROW()-4,"")</f>
        <v/>
      </c>
      <c r="B184" s="15" t="n"/>
      <c r="C184" s="4" t="n"/>
      <c r="D184" s="4" t="n"/>
      <c r="E184" s="4" t="n"/>
      <c r="F184" s="16" t="n"/>
      <c r="G184" s="4" t="n"/>
      <c r="H184" s="4" t="n"/>
      <c r="I184" s="4" t="n"/>
      <c r="J184" s="4" t="n"/>
    </row>
    <row r="185">
      <c r="A185" s="14">
        <f>IF(F185&lt;&gt;"",ROW()-4,"")</f>
        <v/>
      </c>
      <c r="B185" s="15" t="n"/>
      <c r="C185" s="4" t="n"/>
      <c r="D185" s="4" t="n"/>
      <c r="E185" s="4" t="n"/>
      <c r="F185" s="16" t="n"/>
      <c r="G185" s="4" t="n"/>
      <c r="H185" s="4" t="n"/>
      <c r="I185" s="4" t="n"/>
      <c r="J185" s="4" t="n"/>
    </row>
    <row r="186">
      <c r="A186" s="18">
        <f>IF(F186&lt;&gt;"",ROW()-4,"")</f>
        <v/>
      </c>
      <c r="B186" s="15" t="n"/>
      <c r="C186" s="4" t="n"/>
      <c r="D186" s="4" t="n"/>
      <c r="E186" s="4" t="n"/>
      <c r="F186" s="16" t="n"/>
      <c r="G186" s="4" t="n"/>
      <c r="H186" s="4" t="n"/>
      <c r="I186" s="4" t="n"/>
      <c r="J186" s="4" t="n"/>
    </row>
    <row r="187">
      <c r="A187" s="14">
        <f>IF(F187&lt;&gt;"",ROW()-4,"")</f>
        <v/>
      </c>
      <c r="B187" s="15" t="n"/>
      <c r="C187" s="4" t="n"/>
      <c r="D187" s="4" t="n"/>
      <c r="E187" s="4" t="n"/>
      <c r="F187" s="16" t="n"/>
      <c r="G187" s="4" t="n"/>
      <c r="H187" s="4" t="n"/>
      <c r="I187" s="4" t="n"/>
      <c r="J187" s="4" t="n"/>
    </row>
    <row r="188">
      <c r="A188" s="18">
        <f>IF(F188&lt;&gt;"",ROW()-4,"")</f>
        <v/>
      </c>
      <c r="B188" s="15" t="n"/>
      <c r="C188" s="4" t="n"/>
      <c r="D188" s="4" t="n"/>
      <c r="E188" s="4" t="n"/>
      <c r="F188" s="16" t="n"/>
      <c r="G188" s="4" t="n"/>
      <c r="H188" s="4" t="n"/>
      <c r="I188" s="4" t="n"/>
      <c r="J188" s="4" t="n"/>
    </row>
    <row r="189">
      <c r="A189" s="14">
        <f>IF(F189&lt;&gt;"",ROW()-4,"")</f>
        <v/>
      </c>
      <c r="B189" s="15" t="n"/>
      <c r="C189" s="4" t="n"/>
      <c r="D189" s="4" t="n"/>
      <c r="E189" s="4" t="n"/>
      <c r="F189" s="16" t="n"/>
      <c r="G189" s="4" t="n"/>
      <c r="H189" s="4" t="n"/>
      <c r="I189" s="4" t="n"/>
      <c r="J189" s="4" t="n"/>
    </row>
    <row r="190">
      <c r="A190" s="18">
        <f>IF(F190&lt;&gt;"",ROW()-4,"")</f>
        <v/>
      </c>
      <c r="B190" s="15" t="n"/>
      <c r="C190" s="4" t="n"/>
      <c r="D190" s="4" t="n"/>
      <c r="E190" s="4" t="n"/>
      <c r="F190" s="16" t="n"/>
      <c r="G190" s="4" t="n"/>
      <c r="H190" s="4" t="n"/>
      <c r="I190" s="4" t="n"/>
      <c r="J190" s="4" t="n"/>
    </row>
    <row r="191">
      <c r="A191" s="14">
        <f>IF(F191&lt;&gt;"",ROW()-4,"")</f>
        <v/>
      </c>
      <c r="B191" s="15" t="n"/>
      <c r="C191" s="4" t="n"/>
      <c r="D191" s="4" t="n"/>
      <c r="E191" s="4" t="n"/>
      <c r="F191" s="16" t="n"/>
      <c r="G191" s="4" t="n"/>
      <c r="H191" s="4" t="n"/>
      <c r="I191" s="4" t="n"/>
      <c r="J191" s="4" t="n"/>
    </row>
    <row r="192">
      <c r="A192" s="18">
        <f>IF(F192&lt;&gt;"",ROW()-4,"")</f>
        <v/>
      </c>
      <c r="B192" s="15" t="n"/>
      <c r="C192" s="4" t="n"/>
      <c r="D192" s="4" t="n"/>
      <c r="E192" s="4" t="n"/>
      <c r="F192" s="16" t="n"/>
      <c r="G192" s="4" t="n"/>
      <c r="H192" s="4" t="n"/>
      <c r="I192" s="4" t="n"/>
      <c r="J192" s="4" t="n"/>
    </row>
    <row r="193">
      <c r="A193" s="14">
        <f>IF(F193&lt;&gt;"",ROW()-4,"")</f>
        <v/>
      </c>
      <c r="B193" s="15" t="n"/>
      <c r="C193" s="4" t="n"/>
      <c r="D193" s="4" t="n"/>
      <c r="E193" s="4" t="n"/>
      <c r="F193" s="16" t="n"/>
      <c r="G193" s="4" t="n"/>
      <c r="H193" s="4" t="n"/>
      <c r="I193" s="4" t="n"/>
      <c r="J193" s="4" t="n"/>
    </row>
    <row r="194">
      <c r="A194" s="18">
        <f>IF(F194&lt;&gt;"",ROW()-4,"")</f>
        <v/>
      </c>
      <c r="B194" s="15" t="n"/>
      <c r="C194" s="4" t="n"/>
      <c r="D194" s="4" t="n"/>
      <c r="E194" s="4" t="n"/>
      <c r="F194" s="16" t="n"/>
      <c r="G194" s="4" t="n"/>
      <c r="H194" s="4" t="n"/>
      <c r="I194" s="4" t="n"/>
      <c r="J194" s="4" t="n"/>
    </row>
    <row r="195">
      <c r="A195" s="14">
        <f>IF(F195&lt;&gt;"",ROW()-4,"")</f>
        <v/>
      </c>
      <c r="B195" s="15" t="n"/>
      <c r="C195" s="4" t="n"/>
      <c r="D195" s="4" t="n"/>
      <c r="E195" s="4" t="n"/>
      <c r="F195" s="16" t="n"/>
      <c r="G195" s="4" t="n"/>
      <c r="H195" s="4" t="n"/>
      <c r="I195" s="4" t="n"/>
      <c r="J195" s="4" t="n"/>
    </row>
    <row r="196">
      <c r="A196" s="18">
        <f>IF(F196&lt;&gt;"",ROW()-4,"")</f>
        <v/>
      </c>
      <c r="B196" s="15" t="n"/>
      <c r="C196" s="4" t="n"/>
      <c r="D196" s="4" t="n"/>
      <c r="E196" s="4" t="n"/>
      <c r="F196" s="16" t="n"/>
      <c r="G196" s="4" t="n"/>
      <c r="H196" s="4" t="n"/>
      <c r="I196" s="4" t="n"/>
      <c r="J196" s="4" t="n"/>
    </row>
    <row r="197">
      <c r="A197" s="14">
        <f>IF(F197&lt;&gt;"",ROW()-4,"")</f>
        <v/>
      </c>
      <c r="B197" s="15" t="n"/>
      <c r="C197" s="4" t="n"/>
      <c r="D197" s="4" t="n"/>
      <c r="E197" s="4" t="n"/>
      <c r="F197" s="16" t="n"/>
      <c r="G197" s="4" t="n"/>
      <c r="H197" s="4" t="n"/>
      <c r="I197" s="4" t="n"/>
      <c r="J197" s="4" t="n"/>
    </row>
    <row r="198">
      <c r="A198" s="18">
        <f>IF(F198&lt;&gt;"",ROW()-4,"")</f>
        <v/>
      </c>
      <c r="B198" s="15" t="n"/>
      <c r="C198" s="4" t="n"/>
      <c r="D198" s="4" t="n"/>
      <c r="E198" s="4" t="n"/>
      <c r="F198" s="16" t="n"/>
      <c r="G198" s="4" t="n"/>
      <c r="H198" s="4" t="n"/>
      <c r="I198" s="4" t="n"/>
      <c r="J198" s="4" t="n"/>
    </row>
    <row r="199">
      <c r="A199" s="14">
        <f>IF(F199&lt;&gt;"",ROW()-4,"")</f>
        <v/>
      </c>
      <c r="B199" s="15" t="n"/>
      <c r="C199" s="4" t="n"/>
      <c r="D199" s="4" t="n"/>
      <c r="E199" s="4" t="n"/>
      <c r="F199" s="16" t="n"/>
      <c r="G199" s="4" t="n"/>
      <c r="H199" s="4" t="n"/>
      <c r="I199" s="4" t="n"/>
      <c r="J199" s="4" t="n"/>
    </row>
    <row r="200">
      <c r="A200" s="18">
        <f>IF(F200&lt;&gt;"",ROW()-4,"")</f>
        <v/>
      </c>
      <c r="B200" s="15" t="n"/>
      <c r="C200" s="4" t="n"/>
      <c r="D200" s="4" t="n"/>
      <c r="E200" s="4" t="n"/>
      <c r="F200" s="16" t="n"/>
      <c r="G200" s="4" t="n"/>
      <c r="H200" s="4" t="n"/>
      <c r="I200" s="4" t="n"/>
      <c r="J200" s="4" t="n"/>
    </row>
    <row r="201">
      <c r="A201" s="14">
        <f>IF(F201&lt;&gt;"",ROW()-4,"")</f>
        <v/>
      </c>
      <c r="B201" s="15" t="n"/>
      <c r="C201" s="4" t="n"/>
      <c r="D201" s="4" t="n"/>
      <c r="E201" s="4" t="n"/>
      <c r="F201" s="16" t="n"/>
      <c r="G201" s="4" t="n"/>
      <c r="H201" s="4" t="n"/>
      <c r="I201" s="4" t="n"/>
      <c r="J201" s="4" t="n"/>
    </row>
    <row r="202">
      <c r="A202" s="18">
        <f>IF(F202&lt;&gt;"",ROW()-4,"")</f>
        <v/>
      </c>
      <c r="B202" s="15" t="n"/>
      <c r="C202" s="4" t="n"/>
      <c r="D202" s="4" t="n"/>
      <c r="E202" s="4" t="n"/>
      <c r="F202" s="16" t="n"/>
      <c r="G202" s="4" t="n"/>
      <c r="H202" s="4" t="n"/>
      <c r="I202" s="4" t="n"/>
      <c r="J202" s="4" t="n"/>
    </row>
    <row r="203">
      <c r="A203" s="14">
        <f>IF(F203&lt;&gt;"",ROW()-4,"")</f>
        <v/>
      </c>
      <c r="B203" s="15" t="n"/>
      <c r="C203" s="4" t="n"/>
      <c r="D203" s="4" t="n"/>
      <c r="E203" s="4" t="n"/>
      <c r="F203" s="16" t="n"/>
      <c r="G203" s="4" t="n"/>
      <c r="H203" s="4" t="n"/>
      <c r="I203" s="4" t="n"/>
      <c r="J203" s="4" t="n"/>
    </row>
    <row r="204">
      <c r="A204" s="18">
        <f>IF(F204&lt;&gt;"",ROW()-4,"")</f>
        <v/>
      </c>
      <c r="B204" s="15" t="n"/>
      <c r="C204" s="4" t="n"/>
      <c r="D204" s="4" t="n"/>
      <c r="E204" s="4" t="n"/>
      <c r="F204" s="16" t="n"/>
      <c r="G204" s="4" t="n"/>
      <c r="H204" s="4" t="n"/>
      <c r="I204" s="4" t="n"/>
      <c r="J204" s="4" t="n"/>
    </row>
    <row r="205">
      <c r="A205" s="14">
        <f>IF(F205&lt;&gt;"",ROW()-4,"")</f>
        <v/>
      </c>
      <c r="B205" s="15" t="n"/>
      <c r="C205" s="4" t="n"/>
      <c r="D205" s="4" t="n"/>
      <c r="E205" s="4" t="n"/>
      <c r="F205" s="16" t="n"/>
      <c r="G205" s="4" t="n"/>
      <c r="H205" s="4" t="n"/>
      <c r="I205" s="4" t="n"/>
      <c r="J205" s="4" t="n"/>
    </row>
    <row r="206">
      <c r="A206" s="18">
        <f>IF(F206&lt;&gt;"",ROW()-4,"")</f>
        <v/>
      </c>
      <c r="B206" s="15" t="n"/>
      <c r="C206" s="4" t="n"/>
      <c r="D206" s="4" t="n"/>
      <c r="E206" s="4" t="n"/>
      <c r="F206" s="16" t="n"/>
      <c r="G206" s="4" t="n"/>
      <c r="H206" s="4" t="n"/>
      <c r="I206" s="4" t="n"/>
      <c r="J206" s="4" t="n"/>
    </row>
    <row r="207">
      <c r="A207" s="14">
        <f>IF(F207&lt;&gt;"",ROW()-4,"")</f>
        <v/>
      </c>
      <c r="B207" s="15" t="n"/>
      <c r="C207" s="4" t="n"/>
      <c r="D207" s="4" t="n"/>
      <c r="E207" s="4" t="n"/>
      <c r="F207" s="16" t="n"/>
      <c r="G207" s="4" t="n"/>
      <c r="H207" s="4" t="n"/>
      <c r="I207" s="4" t="n"/>
      <c r="J207" s="4" t="n"/>
    </row>
    <row r="208">
      <c r="A208" s="18">
        <f>IF(F208&lt;&gt;"",ROW()-4,"")</f>
        <v/>
      </c>
      <c r="B208" s="15" t="n"/>
      <c r="C208" s="4" t="n"/>
      <c r="D208" s="4" t="n"/>
      <c r="E208" s="4" t="n"/>
      <c r="F208" s="16" t="n"/>
      <c r="G208" s="4" t="n"/>
      <c r="H208" s="4" t="n"/>
      <c r="I208" s="4" t="n"/>
      <c r="J208" s="4" t="n"/>
    </row>
    <row r="209">
      <c r="A209" s="14">
        <f>IF(F209&lt;&gt;"",ROW()-4,"")</f>
        <v/>
      </c>
      <c r="B209" s="15" t="n"/>
      <c r="C209" s="4" t="n"/>
      <c r="D209" s="4" t="n"/>
      <c r="E209" s="4" t="n"/>
      <c r="F209" s="16" t="n"/>
      <c r="G209" s="4" t="n"/>
      <c r="H209" s="4" t="n"/>
      <c r="I209" s="4" t="n"/>
      <c r="J209" s="4" t="n"/>
    </row>
    <row r="210">
      <c r="A210" s="18">
        <f>IF(F210&lt;&gt;"",ROW()-4,"")</f>
        <v/>
      </c>
      <c r="B210" s="15" t="n"/>
      <c r="C210" s="4" t="n"/>
      <c r="D210" s="4" t="n"/>
      <c r="E210" s="4" t="n"/>
      <c r="F210" s="16" t="n"/>
      <c r="G210" s="4" t="n"/>
      <c r="H210" s="4" t="n"/>
      <c r="I210" s="4" t="n"/>
      <c r="J210" s="4" t="n"/>
    </row>
    <row r="211">
      <c r="A211" s="14">
        <f>IF(F211&lt;&gt;"",ROW()-4,"")</f>
        <v/>
      </c>
      <c r="B211" s="15" t="n"/>
      <c r="C211" s="4" t="n"/>
      <c r="D211" s="4" t="n"/>
      <c r="E211" s="4" t="n"/>
      <c r="F211" s="16" t="n"/>
      <c r="G211" s="4" t="n"/>
      <c r="H211" s="4" t="n"/>
      <c r="I211" s="4" t="n"/>
      <c r="J211" s="4" t="n"/>
    </row>
    <row r="212">
      <c r="A212" s="18">
        <f>IF(F212&lt;&gt;"",ROW()-4,"")</f>
        <v/>
      </c>
      <c r="B212" s="15" t="n"/>
      <c r="C212" s="4" t="n"/>
      <c r="D212" s="4" t="n"/>
      <c r="E212" s="4" t="n"/>
      <c r="F212" s="16" t="n"/>
      <c r="G212" s="4" t="n"/>
      <c r="H212" s="4" t="n"/>
      <c r="I212" s="4" t="n"/>
      <c r="J212" s="4" t="n"/>
    </row>
    <row r="213">
      <c r="A213" s="14">
        <f>IF(F213&lt;&gt;"",ROW()-4,"")</f>
        <v/>
      </c>
      <c r="B213" s="15" t="n"/>
      <c r="C213" s="4" t="n"/>
      <c r="D213" s="4" t="n"/>
      <c r="E213" s="4" t="n"/>
      <c r="F213" s="16" t="n"/>
      <c r="G213" s="4" t="n"/>
      <c r="H213" s="4" t="n"/>
      <c r="I213" s="4" t="n"/>
      <c r="J213" s="4" t="n"/>
    </row>
    <row r="214">
      <c r="A214" s="18">
        <f>IF(F214&lt;&gt;"",ROW()-4,"")</f>
        <v/>
      </c>
      <c r="B214" s="15" t="n"/>
      <c r="C214" s="4" t="n"/>
      <c r="D214" s="4" t="n"/>
      <c r="E214" s="4" t="n"/>
      <c r="F214" s="16" t="n"/>
      <c r="G214" s="4" t="n"/>
      <c r="H214" s="4" t="n"/>
      <c r="I214" s="4" t="n"/>
      <c r="J214" s="4" t="n"/>
    </row>
    <row r="215">
      <c r="A215" s="14">
        <f>IF(F215&lt;&gt;"",ROW()-4,"")</f>
        <v/>
      </c>
      <c r="B215" s="15" t="n"/>
      <c r="C215" s="4" t="n"/>
      <c r="D215" s="4" t="n"/>
      <c r="E215" s="4" t="n"/>
      <c r="F215" s="16" t="n"/>
      <c r="G215" s="4" t="n"/>
      <c r="H215" s="4" t="n"/>
      <c r="I215" s="4" t="n"/>
      <c r="J215" s="4" t="n"/>
    </row>
    <row r="216">
      <c r="A216" s="18">
        <f>IF(F216&lt;&gt;"",ROW()-4,"")</f>
        <v/>
      </c>
      <c r="B216" s="15" t="n"/>
      <c r="C216" s="4" t="n"/>
      <c r="D216" s="4" t="n"/>
      <c r="E216" s="4" t="n"/>
      <c r="F216" s="16" t="n"/>
      <c r="G216" s="4" t="n"/>
      <c r="H216" s="4" t="n"/>
      <c r="I216" s="4" t="n"/>
      <c r="J216" s="4" t="n"/>
    </row>
    <row r="217">
      <c r="A217" s="14">
        <f>IF(F217&lt;&gt;"",ROW()-4,"")</f>
        <v/>
      </c>
      <c r="B217" s="15" t="n"/>
      <c r="C217" s="4" t="n"/>
      <c r="D217" s="4" t="n"/>
      <c r="E217" s="4" t="n"/>
      <c r="F217" s="16" t="n"/>
      <c r="G217" s="4" t="n"/>
      <c r="H217" s="4" t="n"/>
      <c r="I217" s="4" t="n"/>
      <c r="J217" s="4" t="n"/>
    </row>
    <row r="218">
      <c r="A218" s="18">
        <f>IF(F218&lt;&gt;"",ROW()-4,"")</f>
        <v/>
      </c>
      <c r="B218" s="15" t="n"/>
      <c r="C218" s="4" t="n"/>
      <c r="D218" s="4" t="n"/>
      <c r="E218" s="4" t="n"/>
      <c r="F218" s="16" t="n"/>
      <c r="G218" s="4" t="n"/>
      <c r="H218" s="4" t="n"/>
      <c r="I218" s="4" t="n"/>
      <c r="J218" s="4" t="n"/>
    </row>
    <row r="219">
      <c r="A219" s="14">
        <f>IF(F219&lt;&gt;"",ROW()-4,"")</f>
        <v/>
      </c>
      <c r="B219" s="15" t="n"/>
      <c r="C219" s="4" t="n"/>
      <c r="D219" s="4" t="n"/>
      <c r="E219" s="4" t="n"/>
      <c r="F219" s="16" t="n"/>
      <c r="G219" s="4" t="n"/>
      <c r="H219" s="4" t="n"/>
      <c r="I219" s="4" t="n"/>
      <c r="J219" s="4" t="n"/>
    </row>
    <row r="220">
      <c r="A220" s="18">
        <f>IF(F220&lt;&gt;"",ROW()-4,"")</f>
        <v/>
      </c>
      <c r="B220" s="15" t="n"/>
      <c r="C220" s="4" t="n"/>
      <c r="D220" s="4" t="n"/>
      <c r="E220" s="4" t="n"/>
      <c r="F220" s="16" t="n"/>
      <c r="G220" s="4" t="n"/>
      <c r="H220" s="4" t="n"/>
      <c r="I220" s="4" t="n"/>
      <c r="J220" s="4" t="n"/>
    </row>
    <row r="221">
      <c r="A221" s="14">
        <f>IF(F221&lt;&gt;"",ROW()-4,"")</f>
        <v/>
      </c>
      <c r="B221" s="15" t="n"/>
      <c r="C221" s="4" t="n"/>
      <c r="D221" s="4" t="n"/>
      <c r="E221" s="4" t="n"/>
      <c r="F221" s="16" t="n"/>
      <c r="G221" s="4" t="n"/>
      <c r="H221" s="4" t="n"/>
      <c r="I221" s="4" t="n"/>
      <c r="J221" s="4" t="n"/>
    </row>
    <row r="222">
      <c r="A222" s="18">
        <f>IF(F222&lt;&gt;"",ROW()-4,"")</f>
        <v/>
      </c>
      <c r="B222" s="15" t="n"/>
      <c r="C222" s="4" t="n"/>
      <c r="D222" s="4" t="n"/>
      <c r="E222" s="4" t="n"/>
      <c r="F222" s="16" t="n"/>
      <c r="G222" s="4" t="n"/>
      <c r="H222" s="4" t="n"/>
      <c r="I222" s="4" t="n"/>
      <c r="J222" s="4" t="n"/>
    </row>
    <row r="223">
      <c r="A223" s="14">
        <f>IF(F223&lt;&gt;"",ROW()-4,"")</f>
        <v/>
      </c>
      <c r="B223" s="15" t="n"/>
      <c r="C223" s="4" t="n"/>
      <c r="D223" s="4" t="n"/>
      <c r="E223" s="4" t="n"/>
      <c r="F223" s="16" t="n"/>
      <c r="G223" s="4" t="n"/>
      <c r="H223" s="4" t="n"/>
      <c r="I223" s="4" t="n"/>
      <c r="J223" s="4" t="n"/>
    </row>
    <row r="224">
      <c r="A224" s="18">
        <f>IF(F224&lt;&gt;"",ROW()-4,"")</f>
        <v/>
      </c>
      <c r="B224" s="15" t="n"/>
      <c r="C224" s="4" t="n"/>
      <c r="D224" s="4" t="n"/>
      <c r="E224" s="4" t="n"/>
      <c r="F224" s="16" t="n"/>
      <c r="G224" s="4" t="n"/>
      <c r="H224" s="4" t="n"/>
      <c r="I224" s="4" t="n"/>
      <c r="J224" s="4" t="n"/>
    </row>
    <row r="225">
      <c r="A225" s="14">
        <f>IF(F225&lt;&gt;"",ROW()-4,"")</f>
        <v/>
      </c>
      <c r="B225" s="15" t="n"/>
      <c r="C225" s="4" t="n"/>
      <c r="D225" s="4" t="n"/>
      <c r="E225" s="4" t="n"/>
      <c r="F225" s="16" t="n"/>
      <c r="G225" s="4" t="n"/>
      <c r="H225" s="4" t="n"/>
      <c r="I225" s="4" t="n"/>
      <c r="J225" s="4" t="n"/>
    </row>
    <row r="226">
      <c r="A226" s="18">
        <f>IF(F226&lt;&gt;"",ROW()-4,"")</f>
        <v/>
      </c>
      <c r="B226" s="15" t="n"/>
      <c r="C226" s="4" t="n"/>
      <c r="D226" s="4" t="n"/>
      <c r="E226" s="4" t="n"/>
      <c r="F226" s="16" t="n"/>
      <c r="G226" s="4" t="n"/>
      <c r="H226" s="4" t="n"/>
      <c r="I226" s="4" t="n"/>
      <c r="J226" s="4" t="n"/>
    </row>
    <row r="227">
      <c r="A227" s="14">
        <f>IF(F227&lt;&gt;"",ROW()-4,"")</f>
        <v/>
      </c>
      <c r="B227" s="15" t="n"/>
      <c r="C227" s="4" t="n"/>
      <c r="D227" s="4" t="n"/>
      <c r="E227" s="4" t="n"/>
      <c r="F227" s="16" t="n"/>
      <c r="G227" s="4" t="n"/>
      <c r="H227" s="4" t="n"/>
      <c r="I227" s="4" t="n"/>
      <c r="J227" s="4" t="n"/>
    </row>
    <row r="228">
      <c r="A228" s="18">
        <f>IF(F228&lt;&gt;"",ROW()-4,"")</f>
        <v/>
      </c>
      <c r="B228" s="15" t="n"/>
      <c r="C228" s="4" t="n"/>
      <c r="D228" s="4" t="n"/>
      <c r="E228" s="4" t="n"/>
      <c r="F228" s="16" t="n"/>
      <c r="G228" s="4" t="n"/>
      <c r="H228" s="4" t="n"/>
      <c r="I228" s="4" t="n"/>
      <c r="J228" s="4" t="n"/>
    </row>
    <row r="229">
      <c r="A229" s="14">
        <f>IF(F229&lt;&gt;"",ROW()-4,"")</f>
        <v/>
      </c>
      <c r="B229" s="15" t="n"/>
      <c r="C229" s="4" t="n"/>
      <c r="D229" s="4" t="n"/>
      <c r="E229" s="4" t="n"/>
      <c r="F229" s="16" t="n"/>
      <c r="G229" s="4" t="n"/>
      <c r="H229" s="4" t="n"/>
      <c r="I229" s="4" t="n"/>
      <c r="J229" s="4" t="n"/>
    </row>
    <row r="230">
      <c r="A230" s="18">
        <f>IF(F230&lt;&gt;"",ROW()-4,"")</f>
        <v/>
      </c>
      <c r="B230" s="15" t="n"/>
      <c r="C230" s="4" t="n"/>
      <c r="D230" s="4" t="n"/>
      <c r="E230" s="4" t="n"/>
      <c r="F230" s="16" t="n"/>
      <c r="G230" s="4" t="n"/>
      <c r="H230" s="4" t="n"/>
      <c r="I230" s="4" t="n"/>
      <c r="J230" s="4" t="n"/>
    </row>
    <row r="231">
      <c r="A231" s="14">
        <f>IF(F231&lt;&gt;"",ROW()-4,"")</f>
        <v/>
      </c>
      <c r="B231" s="15" t="n"/>
      <c r="C231" s="4" t="n"/>
      <c r="D231" s="4" t="n"/>
      <c r="E231" s="4" t="n"/>
      <c r="F231" s="16" t="n"/>
      <c r="G231" s="4" t="n"/>
      <c r="H231" s="4" t="n"/>
      <c r="I231" s="4" t="n"/>
      <c r="J231" s="4" t="n"/>
    </row>
    <row r="232">
      <c r="A232" s="18">
        <f>IF(F232&lt;&gt;"",ROW()-4,"")</f>
        <v/>
      </c>
      <c r="B232" s="15" t="n"/>
      <c r="C232" s="4" t="n"/>
      <c r="D232" s="4" t="n"/>
      <c r="E232" s="4" t="n"/>
      <c r="F232" s="16" t="n"/>
      <c r="G232" s="4" t="n"/>
      <c r="H232" s="4" t="n"/>
      <c r="I232" s="4" t="n"/>
      <c r="J232" s="4" t="n"/>
    </row>
    <row r="233">
      <c r="A233" s="14">
        <f>IF(F233&lt;&gt;"",ROW()-4,"")</f>
        <v/>
      </c>
      <c r="B233" s="15" t="n"/>
      <c r="C233" s="4" t="n"/>
      <c r="D233" s="4" t="n"/>
      <c r="E233" s="4" t="n"/>
      <c r="F233" s="16" t="n"/>
      <c r="G233" s="4" t="n"/>
      <c r="H233" s="4" t="n"/>
      <c r="I233" s="4" t="n"/>
      <c r="J233" s="4" t="n"/>
    </row>
    <row r="234">
      <c r="A234" s="18">
        <f>IF(F234&lt;&gt;"",ROW()-4,"")</f>
        <v/>
      </c>
      <c r="B234" s="15" t="n"/>
      <c r="C234" s="4" t="n"/>
      <c r="D234" s="4" t="n"/>
      <c r="E234" s="4" t="n"/>
      <c r="F234" s="16" t="n"/>
      <c r="G234" s="4" t="n"/>
      <c r="H234" s="4" t="n"/>
      <c r="I234" s="4" t="n"/>
      <c r="J234" s="4" t="n"/>
    </row>
    <row r="235">
      <c r="A235" s="14">
        <f>IF(F235&lt;&gt;"",ROW()-4,"")</f>
        <v/>
      </c>
      <c r="B235" s="15" t="n"/>
      <c r="C235" s="4" t="n"/>
      <c r="D235" s="4" t="n"/>
      <c r="E235" s="4" t="n"/>
      <c r="F235" s="16" t="n"/>
      <c r="G235" s="4" t="n"/>
      <c r="H235" s="4" t="n"/>
      <c r="I235" s="4" t="n"/>
      <c r="J235" s="4" t="n"/>
    </row>
    <row r="236">
      <c r="A236" s="18">
        <f>IF(F236&lt;&gt;"",ROW()-4,"")</f>
        <v/>
      </c>
      <c r="B236" s="15" t="n"/>
      <c r="C236" s="4" t="n"/>
      <c r="D236" s="4" t="n"/>
      <c r="E236" s="4" t="n"/>
      <c r="F236" s="16" t="n"/>
      <c r="G236" s="4" t="n"/>
      <c r="H236" s="4" t="n"/>
      <c r="I236" s="4" t="n"/>
      <c r="J236" s="4" t="n"/>
    </row>
    <row r="237">
      <c r="A237" s="14">
        <f>IF(F237&lt;&gt;"",ROW()-4,"")</f>
        <v/>
      </c>
      <c r="B237" s="15" t="n"/>
      <c r="C237" s="4" t="n"/>
      <c r="D237" s="4" t="n"/>
      <c r="E237" s="4" t="n"/>
      <c r="F237" s="16" t="n"/>
      <c r="G237" s="4" t="n"/>
      <c r="H237" s="4" t="n"/>
      <c r="I237" s="4" t="n"/>
      <c r="J237" s="4" t="n"/>
    </row>
    <row r="238">
      <c r="A238" s="18">
        <f>IF(F238&lt;&gt;"",ROW()-4,"")</f>
        <v/>
      </c>
      <c r="B238" s="15" t="n"/>
      <c r="C238" s="4" t="n"/>
      <c r="D238" s="4" t="n"/>
      <c r="E238" s="4" t="n"/>
      <c r="F238" s="16" t="n"/>
      <c r="G238" s="4" t="n"/>
      <c r="H238" s="4" t="n"/>
      <c r="I238" s="4" t="n"/>
      <c r="J238" s="4" t="n"/>
    </row>
    <row r="239">
      <c r="A239" s="14">
        <f>IF(F239&lt;&gt;"",ROW()-4,"")</f>
        <v/>
      </c>
      <c r="B239" s="15" t="n"/>
      <c r="C239" s="4" t="n"/>
      <c r="D239" s="4" t="n"/>
      <c r="E239" s="4" t="n"/>
      <c r="F239" s="16" t="n"/>
      <c r="G239" s="4" t="n"/>
      <c r="H239" s="4" t="n"/>
      <c r="I239" s="4" t="n"/>
      <c r="J239" s="4" t="n"/>
    </row>
    <row r="240">
      <c r="A240" s="18">
        <f>IF(F240&lt;&gt;"",ROW()-4,"")</f>
        <v/>
      </c>
      <c r="B240" s="15" t="n"/>
      <c r="C240" s="4" t="n"/>
      <c r="D240" s="4" t="n"/>
      <c r="E240" s="4" t="n"/>
      <c r="F240" s="16" t="n"/>
      <c r="G240" s="4" t="n"/>
      <c r="H240" s="4" t="n"/>
      <c r="I240" s="4" t="n"/>
      <c r="J240" s="4" t="n"/>
    </row>
    <row r="241">
      <c r="A241" s="14">
        <f>IF(F241&lt;&gt;"",ROW()-4,"")</f>
        <v/>
      </c>
      <c r="B241" s="15" t="n"/>
      <c r="C241" s="4" t="n"/>
      <c r="D241" s="4" t="n"/>
      <c r="E241" s="4" t="n"/>
      <c r="F241" s="16" t="n"/>
      <c r="G241" s="4" t="n"/>
      <c r="H241" s="4" t="n"/>
      <c r="I241" s="4" t="n"/>
      <c r="J241" s="4" t="n"/>
    </row>
    <row r="242">
      <c r="A242" s="18">
        <f>IF(F242&lt;&gt;"",ROW()-4,"")</f>
        <v/>
      </c>
      <c r="B242" s="15" t="n"/>
      <c r="C242" s="4" t="n"/>
      <c r="D242" s="4" t="n"/>
      <c r="E242" s="4" t="n"/>
      <c r="F242" s="16" t="n"/>
      <c r="G242" s="4" t="n"/>
      <c r="H242" s="4" t="n"/>
      <c r="I242" s="4" t="n"/>
      <c r="J242" s="4" t="n"/>
    </row>
    <row r="243">
      <c r="A243" s="14">
        <f>IF(F243&lt;&gt;"",ROW()-4,"")</f>
        <v/>
      </c>
      <c r="B243" s="15" t="n"/>
      <c r="C243" s="4" t="n"/>
      <c r="D243" s="4" t="n"/>
      <c r="E243" s="4" t="n"/>
      <c r="F243" s="16" t="n"/>
      <c r="G243" s="4" t="n"/>
      <c r="H243" s="4" t="n"/>
      <c r="I243" s="4" t="n"/>
      <c r="J243" s="4" t="n"/>
    </row>
    <row r="244">
      <c r="A244" s="18">
        <f>IF(F244&lt;&gt;"",ROW()-4,"")</f>
        <v/>
      </c>
      <c r="B244" s="15" t="n"/>
      <c r="C244" s="4" t="n"/>
      <c r="D244" s="4" t="n"/>
      <c r="E244" s="4" t="n"/>
      <c r="F244" s="16" t="n"/>
      <c r="G244" s="4" t="n"/>
      <c r="H244" s="4" t="n"/>
      <c r="I244" s="4" t="n"/>
      <c r="J244" s="4" t="n"/>
    </row>
    <row r="245">
      <c r="A245" s="14">
        <f>IF(F245&lt;&gt;"",ROW()-4,"")</f>
        <v/>
      </c>
      <c r="B245" s="15" t="n"/>
      <c r="C245" s="4" t="n"/>
      <c r="D245" s="4" t="n"/>
      <c r="E245" s="4" t="n"/>
      <c r="F245" s="16" t="n"/>
      <c r="G245" s="4" t="n"/>
      <c r="H245" s="4" t="n"/>
      <c r="I245" s="4" t="n"/>
      <c r="J245" s="4" t="n"/>
    </row>
    <row r="246">
      <c r="A246" s="18">
        <f>IF(F246&lt;&gt;"",ROW()-4,"")</f>
        <v/>
      </c>
      <c r="B246" s="15" t="n"/>
      <c r="C246" s="4" t="n"/>
      <c r="D246" s="4" t="n"/>
      <c r="E246" s="4" t="n"/>
      <c r="F246" s="16" t="n"/>
      <c r="G246" s="4" t="n"/>
      <c r="H246" s="4" t="n"/>
      <c r="I246" s="4" t="n"/>
      <c r="J246" s="4" t="n"/>
    </row>
    <row r="247">
      <c r="A247" s="14">
        <f>IF(F247&lt;&gt;"",ROW()-4,"")</f>
        <v/>
      </c>
      <c r="B247" s="15" t="n"/>
      <c r="C247" s="4" t="n"/>
      <c r="D247" s="4" t="n"/>
      <c r="E247" s="4" t="n"/>
      <c r="F247" s="16" t="n"/>
      <c r="G247" s="4" t="n"/>
      <c r="H247" s="4" t="n"/>
      <c r="I247" s="4" t="n"/>
      <c r="J247" s="4" t="n"/>
    </row>
    <row r="248">
      <c r="A248" s="18">
        <f>IF(F248&lt;&gt;"",ROW()-4,"")</f>
        <v/>
      </c>
      <c r="B248" s="15" t="n"/>
      <c r="C248" s="4" t="n"/>
      <c r="D248" s="4" t="n"/>
      <c r="E248" s="4" t="n"/>
      <c r="F248" s="16" t="n"/>
      <c r="G248" s="4" t="n"/>
      <c r="H248" s="4" t="n"/>
      <c r="I248" s="4" t="n"/>
      <c r="J248" s="4" t="n"/>
    </row>
    <row r="249">
      <c r="A249" s="14">
        <f>IF(F249&lt;&gt;"",ROW()-4,"")</f>
        <v/>
      </c>
      <c r="B249" s="15" t="n"/>
      <c r="C249" s="4" t="n"/>
      <c r="D249" s="4" t="n"/>
      <c r="E249" s="4" t="n"/>
      <c r="F249" s="16" t="n"/>
      <c r="G249" s="4" t="n"/>
      <c r="H249" s="4" t="n"/>
      <c r="I249" s="4" t="n"/>
      <c r="J249" s="4" t="n"/>
    </row>
    <row r="250">
      <c r="A250" s="18">
        <f>IF(F250&lt;&gt;"",ROW()-4,"")</f>
        <v/>
      </c>
      <c r="B250" s="15" t="n"/>
      <c r="C250" s="4" t="n"/>
      <c r="D250" s="4" t="n"/>
      <c r="E250" s="4" t="n"/>
      <c r="F250" s="16" t="n"/>
      <c r="G250" s="4" t="n"/>
      <c r="H250" s="4" t="n"/>
      <c r="I250" s="4" t="n"/>
      <c r="J250" s="4" t="n"/>
    </row>
    <row r="251">
      <c r="A251" s="14">
        <f>IF(F251&lt;&gt;"",ROW()-4,"")</f>
        <v/>
      </c>
      <c r="B251" s="15" t="n"/>
      <c r="C251" s="4" t="n"/>
      <c r="D251" s="4" t="n"/>
      <c r="E251" s="4" t="n"/>
      <c r="F251" s="16" t="n"/>
      <c r="G251" s="4" t="n"/>
      <c r="H251" s="4" t="n"/>
      <c r="I251" s="4" t="n"/>
      <c r="J251" s="4" t="n"/>
    </row>
    <row r="252">
      <c r="A252" s="18">
        <f>IF(F252&lt;&gt;"",ROW()-4,"")</f>
        <v/>
      </c>
      <c r="B252" s="15" t="n"/>
      <c r="C252" s="4" t="n"/>
      <c r="D252" s="4" t="n"/>
      <c r="E252" s="4" t="n"/>
      <c r="F252" s="16" t="n"/>
      <c r="G252" s="4" t="n"/>
      <c r="H252" s="4" t="n"/>
      <c r="I252" s="4" t="n"/>
      <c r="J252" s="4" t="n"/>
    </row>
    <row r="253">
      <c r="A253" s="14">
        <f>IF(F253&lt;&gt;"",ROW()-4,"")</f>
        <v/>
      </c>
      <c r="B253" s="15" t="n"/>
      <c r="C253" s="4" t="n"/>
      <c r="D253" s="4" t="n"/>
      <c r="E253" s="4" t="n"/>
      <c r="F253" s="16" t="n"/>
      <c r="G253" s="4" t="n"/>
      <c r="H253" s="4" t="n"/>
      <c r="I253" s="4" t="n"/>
      <c r="J253" s="4" t="n"/>
    </row>
    <row r="254">
      <c r="A254" s="18">
        <f>IF(F254&lt;&gt;"",ROW()-4,"")</f>
        <v/>
      </c>
      <c r="B254" s="15" t="n"/>
      <c r="C254" s="4" t="n"/>
      <c r="D254" s="4" t="n"/>
      <c r="E254" s="4" t="n"/>
      <c r="F254" s="16" t="n"/>
      <c r="G254" s="4" t="n"/>
      <c r="H254" s="4" t="n"/>
      <c r="I254" s="4" t="n"/>
      <c r="J254" s="4" t="n"/>
    </row>
    <row r="255">
      <c r="A255" s="14">
        <f>IF(F255&lt;&gt;"",ROW()-4,"")</f>
        <v/>
      </c>
      <c r="B255" s="15" t="n"/>
      <c r="C255" s="4" t="n"/>
      <c r="D255" s="4" t="n"/>
      <c r="E255" s="4" t="n"/>
      <c r="F255" s="16" t="n"/>
      <c r="G255" s="4" t="n"/>
      <c r="H255" s="4" t="n"/>
      <c r="I255" s="4" t="n"/>
      <c r="J255" s="4" t="n"/>
    </row>
    <row r="256" ht="24" customHeight="1">
      <c r="A256" s="19" t="inlineStr">
        <is>
          <t>TOTAL EXPENSES THIS MONTH</t>
        </is>
      </c>
      <c r="F256" s="11">
        <f>SUM(F5:F255)</f>
        <v/>
      </c>
      <c r="G256" s="12" t="n"/>
      <c r="H256" s="12" t="n"/>
      <c r="I256" s="12" t="n"/>
      <c r="J256" s="12" t="n"/>
    </row>
  </sheetData>
  <mergeCells count="3">
    <mergeCell ref="A1:J1"/>
    <mergeCell ref="A2:J2"/>
    <mergeCell ref="A256:E256"/>
  </mergeCells>
  <conditionalFormatting sqref="A5:J255">
    <cfRule type="expression" priority="1" dxfId="0">
      <formula>$D5="Fixed Bills"</formula>
    </cfRule>
    <cfRule type="expression" priority="2" dxfId="1">
      <formula>$D5="Food &amp; Dining"</formula>
    </cfRule>
    <cfRule type="expression" priority="3" dxfId="2">
      <formula>$D5="Transport &amp; Fuel"</formula>
    </cfRule>
    <cfRule type="expression" priority="4" dxfId="3">
      <formula>$D5="Shopping &amp; Clothing"</formula>
    </cfRule>
    <cfRule type="expression" priority="5" dxfId="4">
      <formula>$D5="Entertainment &amp; OTT"</formula>
    </cfRule>
    <cfRule type="expression" priority="6" dxfId="5">
      <formula>$D5="Groceries"</formula>
    </cfRule>
    <cfRule type="expression" priority="7" dxfId="6">
      <formula>$D5="Investment"</formula>
    </cfRule>
    <cfRule type="expression" priority="8" dxfId="7">
      <formula>$D5="Added to Savings"</formula>
    </cfRule>
    <cfRule type="expression" priority="9" dxfId="8">
      <formula>$D5="Credit Card Payment"</formula>
    </cfRule>
    <cfRule type="expression" priority="10" dxfId="9">
      <formula>$D5="Miscellaneous"</formula>
    </cfRule>
  </conditionalFormatting>
  <dataValidations count="5">
    <dataValidation sqref="D5:D255" showErrorMessage="1" showInputMessage="1" allowBlank="1" errorTitle="Invalid Category" error="Pick a category from the list" type="list">
      <formula1>_Lists!$A$1:$A$10</formula1>
    </dataValidation>
    <dataValidation sqref="E5:E255" showErrorMessage="1" showDropDown="0" showInputMessage="1" allowBlank="1" type="list">
      <formula1>_Lists!$O$1:$O$41</formula1>
    </dataValidation>
    <dataValidation sqref="G5:G255" showErrorMessage="1" showInputMessage="1" allowBlank="1" type="list">
      <formula1>_Lists!$Q$1:$Q$8</formula1>
    </dataValidation>
    <dataValidation sqref="H5:H255" showErrorMessage="1" showInputMessage="1" allowBlank="1" type="list">
      <formula1>Setup!$D$5:$D$9</formula1>
    </dataValidation>
    <dataValidation sqref="I5:I255" showErrorMessage="1" showInputMessage="1" allowBlank="1" type="list">
      <formula1>_Lists!$R$1:$R$10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22" customWidth="1" min="4" max="4"/>
    <col width="22" customWidth="1" min="5" max="5"/>
    <col width="14" customWidth="1" min="6" max="6"/>
    <col width="20" customWidth="1" min="7" max="7"/>
    <col width="20" customWidth="1" min="8" max="8"/>
    <col width="22" customWidth="1" min="9" max="9"/>
    <col width="22" customWidth="1" min="10" max="10"/>
    <col width="2" customWidth="1" min="11" max="11"/>
    <col width="26" customWidth="1" min="12" max="12"/>
    <col width="16" customWidth="1" min="13" max="13"/>
  </cols>
  <sheetData>
    <row r="1" ht="36" customHeight="1">
      <c r="A1" s="1" t="inlineStr">
        <is>
          <t>📝  AUGUST — EXPENSE LOG</t>
        </is>
      </c>
    </row>
    <row r="2" ht="32" customHeight="1">
      <c r="A2" s="13" t="inlineStr">
        <is>
          <t>ℹ️  Date is DateTime. Category dropdown → Sub-category changes automatically. 'Added to Savings' → pick your saving account in Sub-category. CC spend → pick card in 'CC Name'. CC payment → increases card limit.</t>
        </is>
      </c>
    </row>
    <row r="4" ht="28" customHeight="1">
      <c r="A4" s="3" t="inlineStr">
        <is>
          <t>#</t>
        </is>
      </c>
      <c r="B4" s="3" t="inlineStr">
        <is>
          <t>Date &amp; Time</t>
        </is>
      </c>
      <c r="C4" s="3" t="inlineStr">
        <is>
          <t>Description</t>
        </is>
      </c>
      <c r="D4" s="3" t="inlineStr">
        <is>
          <t>Category</t>
        </is>
      </c>
      <c r="E4" s="3" t="inlineStr">
        <is>
          <t>Sub-category</t>
        </is>
      </c>
      <c r="F4" s="3" t="inlineStr">
        <is>
          <t>Amount (₹)</t>
        </is>
      </c>
      <c r="G4" s="3" t="inlineStr">
        <is>
          <t>Paid From</t>
        </is>
      </c>
      <c r="H4" s="3" t="inlineStr">
        <is>
          <t>CC Name</t>
        </is>
      </c>
      <c r="I4" s="3" t="inlineStr">
        <is>
          <t>Account</t>
        </is>
      </c>
      <c r="J4" s="3" t="inlineStr">
        <is>
          <t>Notes</t>
        </is>
      </c>
      <c r="L4" s="3" t="inlineStr">
        <is>
          <t>📊  August Summary</t>
        </is>
      </c>
      <c r="M4" s="3" t="inlineStr">
        <is>
          <t>Amount (₹)</t>
        </is>
      </c>
    </row>
    <row r="5" ht="22" customHeight="1">
      <c r="A5" s="14">
        <f>IF(F5&lt;&gt;"",ROW()-4,"")</f>
        <v/>
      </c>
      <c r="B5" s="15" t="n"/>
      <c r="C5" s="4" t="n"/>
      <c r="D5" s="4" t="n"/>
      <c r="E5" s="4" t="n"/>
      <c r="F5" s="16" t="n"/>
      <c r="G5" s="4" t="n"/>
      <c r="H5" s="4" t="n"/>
      <c r="I5" s="4" t="n"/>
      <c r="J5" s="4" t="n"/>
      <c r="L5" s="17" t="inlineStr">
        <is>
          <t>Total Expenses</t>
        </is>
      </c>
      <c r="M5" s="9">
        <f>F256</f>
        <v/>
      </c>
    </row>
    <row r="6" ht="22" customHeight="1">
      <c r="A6" s="18">
        <f>IF(F6&lt;&gt;"",ROW()-4,"")</f>
        <v/>
      </c>
      <c r="B6" s="15" t="n"/>
      <c r="C6" s="4" t="n"/>
      <c r="D6" s="4" t="n"/>
      <c r="E6" s="4" t="n"/>
      <c r="F6" s="16" t="n"/>
      <c r="G6" s="4" t="n"/>
      <c r="H6" s="4" t="n"/>
      <c r="I6" s="4" t="n"/>
      <c r="J6" s="4" t="n"/>
      <c r="L6" s="17" t="inlineStr">
        <is>
          <t>Income This Month</t>
        </is>
      </c>
      <c r="M6" s="9">
        <f>Income!E8</f>
        <v/>
      </c>
    </row>
    <row r="7" ht="22" customHeight="1">
      <c r="A7" s="14">
        <f>IF(F7&lt;&gt;"",ROW()-4,"")</f>
        <v/>
      </c>
      <c r="B7" s="15" t="n"/>
      <c r="C7" s="4" t="n"/>
      <c r="D7" s="4" t="n"/>
      <c r="E7" s="4" t="n"/>
      <c r="F7" s="16" t="n"/>
      <c r="G7" s="4" t="n"/>
      <c r="H7" s="4" t="n"/>
      <c r="I7" s="4" t="n"/>
      <c r="J7" s="4" t="n"/>
      <c r="L7" s="17" t="inlineStr">
        <is>
          <t>Net This Month</t>
        </is>
      </c>
      <c r="M7" s="9">
        <f>M6-M5</f>
        <v/>
      </c>
    </row>
    <row r="8" ht="22" customHeight="1">
      <c r="A8" s="18">
        <f>IF(F8&lt;&gt;"",ROW()-4,"")</f>
        <v/>
      </c>
      <c r="B8" s="15" t="n"/>
      <c r="C8" s="4" t="n"/>
      <c r="D8" s="4" t="n"/>
      <c r="E8" s="4" t="n"/>
      <c r="F8" s="16" t="n"/>
      <c r="G8" s="4" t="n"/>
      <c r="H8" s="4" t="n"/>
      <c r="I8" s="4" t="n"/>
      <c r="J8" s="4" t="n"/>
      <c r="L8" s="17" t="inlineStr">
        <is>
          <t>Savings 1 (this month)</t>
        </is>
      </c>
      <c r="M8" s="9">
        <f>IF(Setup!A13&lt;&gt;"",SUMIFS(F5:F255,D5:D255,"Added to Savings",I5:I255,Setup!A13)-SUMIFS(F5:F255,G5:G255,Setup!A13),"")</f>
        <v/>
      </c>
    </row>
    <row r="9" ht="22" customHeight="1">
      <c r="A9" s="14">
        <f>IF(F9&lt;&gt;"",ROW()-4,"")</f>
        <v/>
      </c>
      <c r="B9" s="15" t="n"/>
      <c r="C9" s="4" t="n"/>
      <c r="D9" s="4" t="n"/>
      <c r="E9" s="4" t="n"/>
      <c r="F9" s="16" t="n"/>
      <c r="G9" s="4" t="n"/>
      <c r="H9" s="4" t="n"/>
      <c r="I9" s="4" t="n"/>
      <c r="J9" s="4" t="n"/>
      <c r="L9" s="17" t="inlineStr">
        <is>
          <t>Savings 1 (balance)</t>
        </is>
      </c>
      <c r="M9" s="9">
        <f>IF(Setup!A13&lt;&gt;"",Setup!B13+(SUMIFS('April'!F5:F64,'April'!D5:D64,"Added to Savings",'April'!I5:I64,Setup!A13)+SUMIFS('May'!F5:F64,'May'!D5:D64,"Added to Savings",'May'!I5:I64,Setup!A13)+SUMIFS('June'!F5:F64,'June'!D5:D64,"Added to Savings",'June'!I5:I64,Setup!A13)+SUMIFS('July'!F5:F64,'July'!D5:D64,"Added to Savings",'July'!I5:I64,Setup!A13)+SUMIFS('August'!F5:F64,'August'!D5:D64,"Added to Savings",'August'!I5:I64,Setup!A13))-(SUMIFS('April'!F5:F64,'April'!G5:G64,Setup!A13)+SUMIFS('May'!F5:F64,'May'!G5:G64,Setup!A13)+SUMIFS('June'!F5:F64,'June'!G5:G64,Setup!A13)+SUMIFS('July'!F5:F64,'July'!G5:G64,Setup!A13)+SUMIFS('August'!F5:F64,'August'!G5:G64,Setup!A13)),"")</f>
        <v/>
      </c>
    </row>
    <row r="10" ht="22" customHeight="1">
      <c r="A10" s="18">
        <f>IF(F10&lt;&gt;"",ROW()-4,"")</f>
        <v/>
      </c>
      <c r="B10" s="15" t="n"/>
      <c r="C10" s="4" t="n"/>
      <c r="D10" s="4" t="n"/>
      <c r="E10" s="4" t="n"/>
      <c r="F10" s="16" t="n"/>
      <c r="G10" s="4" t="n"/>
      <c r="H10" s="4" t="n"/>
      <c r="I10" s="4" t="n"/>
      <c r="J10" s="4" t="n"/>
      <c r="L10" s="17" t="inlineStr">
        <is>
          <t>Savings 2 (this month)</t>
        </is>
      </c>
      <c r="M10" s="9">
        <f>IF(Setup!A14&lt;&gt;"",SUMIFS(F5:F255,D5:D255,"Added to Savings",I5:I255,Setup!A14)-SUMIFS(F5:F255,G5:G255,Setup!A14),"")</f>
        <v/>
      </c>
    </row>
    <row r="11" ht="22" customHeight="1">
      <c r="A11" s="14">
        <f>IF(F11&lt;&gt;"",ROW()-4,"")</f>
        <v/>
      </c>
      <c r="B11" s="15" t="n"/>
      <c r="C11" s="4" t="n"/>
      <c r="D11" s="4" t="n"/>
      <c r="E11" s="4" t="n"/>
      <c r="F11" s="16" t="n"/>
      <c r="G11" s="4" t="n"/>
      <c r="H11" s="4" t="n"/>
      <c r="I11" s="4" t="n"/>
      <c r="J11" s="4" t="n"/>
      <c r="L11" s="17" t="inlineStr">
        <is>
          <t>Savings 2 (balance)</t>
        </is>
      </c>
      <c r="M11" s="9">
        <f>IF(Setup!A14&lt;&gt;"",Setup!B14+(SUMIFS('April'!F5:F64,'April'!D5:D64,"Added to Savings",'April'!I5:I64,Setup!A14)+SUMIFS('May'!F5:F64,'May'!D5:D64,"Added to Savings",'May'!I5:I64,Setup!A14)+SUMIFS('June'!F5:F64,'June'!D5:D64,"Added to Savings",'June'!I5:I64,Setup!A14)+SUMIFS('July'!F5:F64,'July'!D5:D64,"Added to Savings",'July'!I5:I64,Setup!A14)+SUMIFS('August'!F5:F64,'August'!D5:D64,"Added to Savings",'August'!I5:I64,Setup!A14))-(SUMIFS('April'!F5:F64,'April'!G5:G64,Setup!A14)+SUMIFS('May'!F5:F64,'May'!G5:G64,Setup!A14)+SUMIFS('June'!F5:F64,'June'!G5:G64,Setup!A14)+SUMIFS('July'!F5:F64,'July'!G5:G64,Setup!A14)+SUMIFS('August'!F5:F64,'August'!G5:G64,Setup!A14)),"")</f>
        <v/>
      </c>
    </row>
    <row r="12" ht="22" customHeight="1">
      <c r="A12" s="18">
        <f>IF(F12&lt;&gt;"",ROW()-4,"")</f>
        <v/>
      </c>
      <c r="B12" s="15" t="n"/>
      <c r="C12" s="4" t="n"/>
      <c r="D12" s="4" t="n"/>
      <c r="E12" s="4" t="n"/>
      <c r="F12" s="16" t="n"/>
      <c r="G12" s="4" t="n"/>
      <c r="H12" s="4" t="n"/>
      <c r="I12" s="4" t="n"/>
      <c r="J12" s="4" t="n"/>
      <c r="L12" s="17" t="inlineStr">
        <is>
          <t>Savings 3 (this month)</t>
        </is>
      </c>
      <c r="M12" s="9">
        <f>IF(Setup!A15&lt;&gt;"",SUMIFS(F5:F255,D5:D255,"Added to Savings",I5:I255,Setup!A15)-SUMIFS(F5:F255,G5:G255,Setup!A15),"")</f>
        <v/>
      </c>
    </row>
    <row r="13" ht="22" customHeight="1">
      <c r="A13" s="14">
        <f>IF(F13&lt;&gt;"",ROW()-4,"")</f>
        <v/>
      </c>
      <c r="B13" s="15" t="n"/>
      <c r="C13" s="4" t="n"/>
      <c r="D13" s="4" t="n"/>
      <c r="E13" s="4" t="n"/>
      <c r="F13" s="16" t="n"/>
      <c r="G13" s="4" t="n"/>
      <c r="H13" s="4" t="n"/>
      <c r="I13" s="4" t="n"/>
      <c r="J13" s="4" t="n"/>
      <c r="L13" s="17" t="inlineStr">
        <is>
          <t>Savings 3 (balance)</t>
        </is>
      </c>
      <c r="M13" s="9">
        <f>IF(Setup!A15&lt;&gt;"",Setup!B15+(SUMIFS('April'!F5:F64,'April'!D5:D64,"Added to Savings",'April'!I5:I64,Setup!A15)+SUMIFS('May'!F5:F64,'May'!D5:D64,"Added to Savings",'May'!I5:I64,Setup!A15)+SUMIFS('June'!F5:F64,'June'!D5:D64,"Added to Savings",'June'!I5:I64,Setup!A15)+SUMIFS('July'!F5:F64,'July'!D5:D64,"Added to Savings",'July'!I5:I64,Setup!A15)+SUMIFS('August'!F5:F64,'August'!D5:D64,"Added to Savings",'August'!I5:I64,Setup!A15))-(SUMIFS('April'!F5:F64,'April'!G5:G64,Setup!A15)+SUMIFS('May'!F5:F64,'May'!G5:G64,Setup!A15)+SUMIFS('June'!F5:F64,'June'!G5:G64,Setup!A15)+SUMIFS('July'!F5:F64,'July'!G5:G64,Setup!A15)+SUMIFS('August'!F5:F64,'August'!G5:G64,Setup!A15)),"")</f>
        <v/>
      </c>
    </row>
    <row r="14" ht="22" customHeight="1">
      <c r="A14" s="18">
        <f>IF(F14&lt;&gt;"",ROW()-4,"")</f>
        <v/>
      </c>
      <c r="B14" s="15" t="n"/>
      <c r="C14" s="4" t="n"/>
      <c r="D14" s="4" t="n"/>
      <c r="E14" s="4" t="n"/>
      <c r="F14" s="16" t="n"/>
      <c r="G14" s="4" t="n"/>
      <c r="H14" s="4" t="n"/>
      <c r="I14" s="4" t="n"/>
      <c r="J14" s="4" t="n"/>
      <c r="L14" s="17" t="inlineStr">
        <is>
          <t>Savings 4 (this month)</t>
        </is>
      </c>
      <c r="M14" s="9">
        <f>IF(Setup!A16&lt;&gt;"",SUMIFS(F5:F255,D5:D255,"Added to Savings",I5:I255,Setup!A16)-SUMIFS(F5:F255,G5:G255,Setup!A16),"")</f>
        <v/>
      </c>
    </row>
    <row r="15" ht="22" customHeight="1">
      <c r="A15" s="14">
        <f>IF(F15&lt;&gt;"",ROW()-4,"")</f>
        <v/>
      </c>
      <c r="B15" s="15" t="n"/>
      <c r="C15" s="4" t="n"/>
      <c r="D15" s="4" t="n"/>
      <c r="E15" s="4" t="n"/>
      <c r="F15" s="16" t="n"/>
      <c r="G15" s="4" t="n"/>
      <c r="H15" s="4" t="n"/>
      <c r="I15" s="4" t="n"/>
      <c r="J15" s="4" t="n"/>
      <c r="L15" s="17" t="inlineStr">
        <is>
          <t>Savings 4 (balance)</t>
        </is>
      </c>
      <c r="M15" s="9">
        <f>IF(Setup!A16&lt;&gt;"",Setup!B16+(SUMIFS('April'!F5:F64,'April'!D5:D64,"Added to Savings",'April'!I5:I64,Setup!A16)+SUMIFS('May'!F5:F64,'May'!D5:D64,"Added to Savings",'May'!I5:I64,Setup!A16)+SUMIFS('June'!F5:F64,'June'!D5:D64,"Added to Savings",'June'!I5:I64,Setup!A16)+SUMIFS('July'!F5:F64,'July'!D5:D64,"Added to Savings",'July'!I5:I64,Setup!A16)+SUMIFS('August'!F5:F64,'August'!D5:D64,"Added to Savings",'August'!I5:I64,Setup!A16))-(SUMIFS('April'!F5:F64,'April'!G5:G64,Setup!A16)+SUMIFS('May'!F5:F64,'May'!G5:G64,Setup!A16)+SUMIFS('June'!F5:F64,'June'!G5:G64,Setup!A16)+SUMIFS('July'!F5:F64,'July'!G5:G64,Setup!A16)+SUMIFS('August'!F5:F64,'August'!G5:G64,Setup!A16)),"")</f>
        <v/>
      </c>
    </row>
    <row r="16" ht="22" customHeight="1">
      <c r="A16" s="18">
        <f>IF(F16&lt;&gt;"",ROW()-4,"")</f>
        <v/>
      </c>
      <c r="B16" s="15" t="n"/>
      <c r="C16" s="4" t="n"/>
      <c r="D16" s="4" t="n"/>
      <c r="E16" s="4" t="n"/>
      <c r="F16" s="16" t="n"/>
      <c r="G16" s="4" t="n"/>
      <c r="H16" s="4" t="n"/>
      <c r="I16" s="4" t="n"/>
      <c r="J16" s="4" t="n"/>
      <c r="L16" s="17" t="inlineStr">
        <is>
          <t>Savings 5 (this month)</t>
        </is>
      </c>
      <c r="M16" s="9">
        <f>IF(Setup!A17&lt;&gt;"",SUMIFS(F5:F255,D5:D255,"Added to Savings",I5:I255,Setup!A17)-SUMIFS(F5:F255,G5:G255,Setup!A17),"")</f>
        <v/>
      </c>
    </row>
    <row r="17" ht="22" customHeight="1">
      <c r="A17" s="14">
        <f>IF(F17&lt;&gt;"",ROW()-4,"")</f>
        <v/>
      </c>
      <c r="B17" s="15" t="n"/>
      <c r="C17" s="4" t="n"/>
      <c r="D17" s="4" t="n"/>
      <c r="E17" s="4" t="n"/>
      <c r="F17" s="16" t="n"/>
      <c r="G17" s="4" t="n"/>
      <c r="H17" s="4" t="n"/>
      <c r="I17" s="4" t="n"/>
      <c r="J17" s="4" t="n"/>
      <c r="L17" s="17" t="inlineStr">
        <is>
          <t>Savings 5 (balance)</t>
        </is>
      </c>
      <c r="M17" s="9">
        <f>IF(Setup!A17&lt;&gt;"",Setup!B17+(SUMIFS('April'!F5:F64,'April'!D5:D64,"Added to Savings",'April'!I5:I64,Setup!A17)+SUMIFS('May'!F5:F64,'May'!D5:D64,"Added to Savings",'May'!I5:I64,Setup!A17)+SUMIFS('June'!F5:F64,'June'!D5:D64,"Added to Savings",'June'!I5:I64,Setup!A17)+SUMIFS('July'!F5:F64,'July'!D5:D64,"Added to Savings",'July'!I5:I64,Setup!A17)+SUMIFS('August'!F5:F64,'August'!D5:D64,"Added to Savings",'August'!I5:I64,Setup!A17))-(SUMIFS('April'!F5:F64,'April'!G5:G64,Setup!A17)+SUMIFS('May'!F5:F64,'May'!G5:G64,Setup!A17)+SUMIFS('June'!F5:F64,'June'!G5:G64,Setup!A17)+SUMIFS('July'!F5:F64,'July'!G5:G64,Setup!A17)+SUMIFS('August'!F5:F64,'August'!G5:G64,Setup!A17)),"")</f>
        <v/>
      </c>
    </row>
    <row r="18" ht="22" customHeight="1">
      <c r="A18" s="18">
        <f>IF(F18&lt;&gt;"",ROW()-4,"")</f>
        <v/>
      </c>
      <c r="B18" s="15" t="n"/>
      <c r="C18" s="4" t="n"/>
      <c r="D18" s="4" t="n"/>
      <c r="E18" s="4" t="n"/>
      <c r="F18" s="16" t="n"/>
      <c r="G18" s="4" t="n"/>
      <c r="H18" s="4" t="n"/>
      <c r="I18" s="4" t="n"/>
      <c r="J18" s="4" t="n"/>
      <c r="L18" s="17" t="inlineStr">
        <is>
          <t>Fixed Bills Paid</t>
        </is>
      </c>
      <c r="M18" s="9">
        <f>SUMIF(D5:D255,"Fixed Bills",F5:F255)</f>
        <v/>
      </c>
    </row>
    <row r="19" ht="22" customHeight="1">
      <c r="A19" s="14">
        <f>IF(F19&lt;&gt;"",ROW()-4,"")</f>
        <v/>
      </c>
      <c r="B19" s="15" t="n"/>
      <c r="C19" s="4" t="n"/>
      <c r="D19" s="4" t="n"/>
      <c r="E19" s="4" t="n"/>
      <c r="F19" s="16" t="n"/>
      <c r="G19" s="4" t="n"/>
      <c r="H19" s="4" t="n"/>
      <c r="I19" s="4" t="n"/>
      <c r="J19" s="4" t="n"/>
      <c r="L19" s="17" t="inlineStr">
        <is>
          <t>Food &amp; Dining</t>
        </is>
      </c>
      <c r="M19" s="9">
        <f>SUMIF(D5:D255,"Food &amp; Dining",F5:F255)</f>
        <v/>
      </c>
    </row>
    <row r="20" ht="22" customHeight="1">
      <c r="A20" s="18">
        <f>IF(F20&lt;&gt;"",ROW()-4,"")</f>
        <v/>
      </c>
      <c r="B20" s="15" t="n"/>
      <c r="C20" s="4" t="n"/>
      <c r="D20" s="4" t="n"/>
      <c r="E20" s="4" t="n"/>
      <c r="F20" s="16" t="n"/>
      <c r="G20" s="4" t="n"/>
      <c r="H20" s="4" t="n"/>
      <c r="I20" s="4" t="n"/>
      <c r="J20" s="4" t="n"/>
      <c r="L20" s="17" t="inlineStr">
        <is>
          <t>Transport</t>
        </is>
      </c>
      <c r="M20" s="9">
        <f>SUMIF(D5:D255,"Transport &amp; Fuel",F5:F255)</f>
        <v/>
      </c>
    </row>
    <row r="21" ht="22" customHeight="1">
      <c r="A21" s="14">
        <f>IF(F21&lt;&gt;"",ROW()-4,"")</f>
        <v/>
      </c>
      <c r="B21" s="15" t="n"/>
      <c r="C21" s="4" t="n"/>
      <c r="D21" s="4" t="n"/>
      <c r="E21" s="4" t="n"/>
      <c r="F21" s="16" t="n"/>
      <c r="G21" s="4" t="n"/>
      <c r="H21" s="4" t="n"/>
      <c r="I21" s="4" t="n"/>
      <c r="J21" s="4" t="n"/>
      <c r="L21" s="17" t="inlineStr">
        <is>
          <t>Groceries</t>
        </is>
      </c>
      <c r="M21" s="9">
        <f>SUMIF(D5:D255,"Groceries",F5:F255)</f>
        <v/>
      </c>
    </row>
    <row r="22" ht="22" customHeight="1">
      <c r="A22" s="18">
        <f>IF(F22&lt;&gt;"",ROW()-4,"")</f>
        <v/>
      </c>
      <c r="B22" s="15" t="n"/>
      <c r="C22" s="4" t="n"/>
      <c r="D22" s="4" t="n"/>
      <c r="E22" s="4" t="n"/>
      <c r="F22" s="16" t="n"/>
      <c r="G22" s="4" t="n"/>
      <c r="H22" s="4" t="n"/>
      <c r="I22" s="4" t="n"/>
      <c r="J22" s="4" t="n"/>
      <c r="L22" s="17" t="inlineStr">
        <is>
          <t>Shopping</t>
        </is>
      </c>
      <c r="M22" s="9">
        <f>SUMIF(D5:D255,"Shopping &amp; Clothing",F5:F255)</f>
        <v/>
      </c>
    </row>
    <row r="23" ht="22" customHeight="1">
      <c r="A23" s="14">
        <f>IF(F23&lt;&gt;"",ROW()-4,"")</f>
        <v/>
      </c>
      <c r="B23" s="15" t="n"/>
      <c r="C23" s="4" t="n"/>
      <c r="D23" s="4" t="n"/>
      <c r="E23" s="4" t="n"/>
      <c r="F23" s="16" t="n"/>
      <c r="G23" s="4" t="n"/>
      <c r="H23" s="4" t="n"/>
      <c r="I23" s="4" t="n"/>
      <c r="J23" s="4" t="n"/>
      <c r="L23" s="17" t="inlineStr">
        <is>
          <t>Entertainment</t>
        </is>
      </c>
      <c r="M23" s="9">
        <f>SUMIF(D5:D255,"Entertainment &amp; OTT",F5:F255)</f>
        <v/>
      </c>
    </row>
    <row r="24" ht="22" customHeight="1">
      <c r="A24" s="18">
        <f>IF(F24&lt;&gt;"",ROW()-4,"")</f>
        <v/>
      </c>
      <c r="B24" s="15" t="n"/>
      <c r="C24" s="4" t="n"/>
      <c r="D24" s="4" t="n"/>
      <c r="E24" s="4" t="n"/>
      <c r="F24" s="16" t="n"/>
      <c r="G24" s="4" t="n"/>
      <c r="H24" s="4" t="n"/>
      <c r="I24" s="4" t="n"/>
      <c r="J24" s="4" t="n"/>
      <c r="L24" s="17" t="inlineStr">
        <is>
          <t>Investment</t>
        </is>
      </c>
      <c r="M24" s="9">
        <f>SUMIF(D5:D255,"Investment",F5:F255)</f>
        <v/>
      </c>
    </row>
    <row r="25" ht="22" customHeight="1">
      <c r="A25" s="14">
        <f>IF(F25&lt;&gt;"",ROW()-4,"")</f>
        <v/>
      </c>
      <c r="B25" s="15" t="n"/>
      <c r="C25" s="4" t="n"/>
      <c r="D25" s="4" t="n"/>
      <c r="E25" s="4" t="n"/>
      <c r="F25" s="16" t="n"/>
      <c r="G25" s="4" t="n"/>
      <c r="H25" s="4" t="n"/>
      <c r="I25" s="4" t="n"/>
      <c r="J25" s="4" t="n"/>
      <c r="L25" s="17" t="inlineStr">
        <is>
          <t>Added to Savings</t>
        </is>
      </c>
      <c r="M25" s="9">
        <f>SUMIF(D5:D255,"Added to Savings",F5:F255)</f>
        <v/>
      </c>
    </row>
    <row r="26" ht="22" customHeight="1">
      <c r="A26" s="18">
        <f>IF(F26&lt;&gt;"",ROW()-4,"")</f>
        <v/>
      </c>
      <c r="B26" s="15" t="n"/>
      <c r="C26" s="4" t="n"/>
      <c r="D26" s="4" t="n"/>
      <c r="E26" s="4" t="n"/>
      <c r="F26" s="16" t="n"/>
      <c r="G26" s="4" t="n"/>
      <c r="H26" s="4" t="n"/>
      <c r="I26" s="4" t="n"/>
      <c r="J26" s="4" t="n"/>
      <c r="L26" s="17" t="inlineStr">
        <is>
          <t>CC Payments</t>
        </is>
      </c>
      <c r="M26" s="9">
        <f>SUMIF(D5:D255,"Credit Card Payment",F5:F255)</f>
        <v/>
      </c>
    </row>
    <row r="27" ht="22" customHeight="1">
      <c r="A27" s="14">
        <f>IF(F27&lt;&gt;"",ROW()-4,"")</f>
        <v/>
      </c>
      <c r="B27" s="15" t="n"/>
      <c r="C27" s="4" t="n"/>
      <c r="D27" s="4" t="n"/>
      <c r="E27" s="4" t="n"/>
      <c r="F27" s="16" t="n"/>
      <c r="G27" s="4" t="n"/>
      <c r="H27" s="4" t="n"/>
      <c r="I27" s="4" t="n"/>
      <c r="J27" s="4" t="n"/>
      <c r="L27" s="17" t="inlineStr">
        <is>
          <t>Miscellaneous</t>
        </is>
      </c>
      <c r="M27" s="9">
        <f>SUMIF(D5:D255,"Miscellaneous",F5:F255)</f>
        <v/>
      </c>
    </row>
    <row r="28">
      <c r="A28" s="18">
        <f>IF(F28&lt;&gt;"",ROW()-4,"")</f>
        <v/>
      </c>
      <c r="B28" s="15" t="n"/>
      <c r="C28" s="4" t="n"/>
      <c r="D28" s="4" t="n"/>
      <c r="E28" s="4" t="n"/>
      <c r="F28" s="16" t="n"/>
      <c r="G28" s="4" t="n"/>
      <c r="H28" s="4" t="n"/>
      <c r="I28" s="4" t="n"/>
      <c r="J28" s="4" t="n"/>
    </row>
    <row r="29">
      <c r="A29" s="14">
        <f>IF(F29&lt;&gt;"",ROW()-4,"")</f>
        <v/>
      </c>
      <c r="B29" s="15" t="n"/>
      <c r="C29" s="4" t="n"/>
      <c r="D29" s="4" t="n"/>
      <c r="E29" s="4" t="n"/>
      <c r="F29" s="16" t="n"/>
      <c r="G29" s="4" t="n"/>
      <c r="H29" s="4" t="n"/>
      <c r="I29" s="4" t="n"/>
      <c r="J29" s="4" t="n"/>
    </row>
    <row r="30">
      <c r="A30" s="18">
        <f>IF(F30&lt;&gt;"",ROW()-4,"")</f>
        <v/>
      </c>
      <c r="B30" s="15" t="n"/>
      <c r="C30" s="4" t="n"/>
      <c r="D30" s="4" t="n"/>
      <c r="E30" s="4" t="n"/>
      <c r="F30" s="16" t="n"/>
      <c r="G30" s="4" t="n"/>
      <c r="H30" s="4" t="n"/>
      <c r="I30" s="4" t="n"/>
      <c r="J30" s="4" t="n"/>
    </row>
    <row r="31">
      <c r="A31" s="14">
        <f>IF(F31&lt;&gt;"",ROW()-4,"")</f>
        <v/>
      </c>
      <c r="B31" s="15" t="n"/>
      <c r="C31" s="4" t="n"/>
      <c r="D31" s="4" t="n"/>
      <c r="E31" s="4" t="n"/>
      <c r="F31" s="16" t="n"/>
      <c r="G31" s="4" t="n"/>
      <c r="H31" s="4" t="n"/>
      <c r="I31" s="4" t="n"/>
      <c r="J31" s="4" t="n"/>
    </row>
    <row r="32">
      <c r="A32" s="18">
        <f>IF(F32&lt;&gt;"",ROW()-4,"")</f>
        <v/>
      </c>
      <c r="B32" s="15" t="n"/>
      <c r="C32" s="4" t="n"/>
      <c r="D32" s="4" t="n"/>
      <c r="E32" s="4" t="n"/>
      <c r="F32" s="16" t="n"/>
      <c r="G32" s="4" t="n"/>
      <c r="H32" s="4" t="n"/>
      <c r="I32" s="4" t="n"/>
      <c r="J32" s="4" t="n"/>
    </row>
    <row r="33">
      <c r="A33" s="14">
        <f>IF(F33&lt;&gt;"",ROW()-4,"")</f>
        <v/>
      </c>
      <c r="B33" s="15" t="n"/>
      <c r="C33" s="4" t="n"/>
      <c r="D33" s="4" t="n"/>
      <c r="E33" s="4" t="n"/>
      <c r="F33" s="16" t="n"/>
      <c r="G33" s="4" t="n"/>
      <c r="H33" s="4" t="n"/>
      <c r="I33" s="4" t="n"/>
      <c r="J33" s="4" t="n"/>
    </row>
    <row r="34">
      <c r="A34" s="18">
        <f>IF(F34&lt;&gt;"",ROW()-4,"")</f>
        <v/>
      </c>
      <c r="B34" s="15" t="n"/>
      <c r="C34" s="4" t="n"/>
      <c r="D34" s="4" t="n"/>
      <c r="E34" s="4" t="n"/>
      <c r="F34" s="16" t="n"/>
      <c r="G34" s="4" t="n"/>
      <c r="H34" s="4" t="n"/>
      <c r="I34" s="4" t="n"/>
      <c r="J34" s="4" t="n"/>
    </row>
    <row r="35">
      <c r="A35" s="14">
        <f>IF(F35&lt;&gt;"",ROW()-4,"")</f>
        <v/>
      </c>
      <c r="B35" s="15" t="n"/>
      <c r="C35" s="4" t="n"/>
      <c r="D35" s="4" t="n"/>
      <c r="E35" s="4" t="n"/>
      <c r="F35" s="16" t="n"/>
      <c r="G35" s="4" t="n"/>
      <c r="H35" s="4" t="n"/>
      <c r="I35" s="4" t="n"/>
      <c r="J35" s="4" t="n"/>
    </row>
    <row r="36">
      <c r="A36" s="18">
        <f>IF(F36&lt;&gt;"",ROW()-4,"")</f>
        <v/>
      </c>
      <c r="B36" s="15" t="n"/>
      <c r="C36" s="4" t="n"/>
      <c r="D36" s="4" t="n"/>
      <c r="E36" s="4" t="n"/>
      <c r="F36" s="16" t="n"/>
      <c r="G36" s="4" t="n"/>
      <c r="H36" s="4" t="n"/>
      <c r="I36" s="4" t="n"/>
      <c r="J36" s="4" t="n"/>
    </row>
    <row r="37">
      <c r="A37" s="14">
        <f>IF(F37&lt;&gt;"",ROW()-4,"")</f>
        <v/>
      </c>
      <c r="B37" s="15" t="n"/>
      <c r="C37" s="4" t="n"/>
      <c r="D37" s="4" t="n"/>
      <c r="E37" s="4" t="n"/>
      <c r="F37" s="16" t="n"/>
      <c r="G37" s="4" t="n"/>
      <c r="H37" s="4" t="n"/>
      <c r="I37" s="4" t="n"/>
      <c r="J37" s="4" t="n"/>
    </row>
    <row r="38">
      <c r="A38" s="18">
        <f>IF(F38&lt;&gt;"",ROW()-4,"")</f>
        <v/>
      </c>
      <c r="B38" s="15" t="n"/>
      <c r="C38" s="4" t="n"/>
      <c r="D38" s="4" t="n"/>
      <c r="E38" s="4" t="n"/>
      <c r="F38" s="16" t="n"/>
      <c r="G38" s="4" t="n"/>
      <c r="H38" s="4" t="n"/>
      <c r="I38" s="4" t="n"/>
      <c r="J38" s="4" t="n"/>
    </row>
    <row r="39">
      <c r="A39" s="14">
        <f>IF(F39&lt;&gt;"",ROW()-4,"")</f>
        <v/>
      </c>
      <c r="B39" s="15" t="n"/>
      <c r="C39" s="4" t="n"/>
      <c r="D39" s="4" t="n"/>
      <c r="E39" s="4" t="n"/>
      <c r="F39" s="16" t="n"/>
      <c r="G39" s="4" t="n"/>
      <c r="H39" s="4" t="n"/>
      <c r="I39" s="4" t="n"/>
      <c r="J39" s="4" t="n"/>
    </row>
    <row r="40">
      <c r="A40" s="18">
        <f>IF(F40&lt;&gt;"",ROW()-4,"")</f>
        <v/>
      </c>
      <c r="B40" s="15" t="n"/>
      <c r="C40" s="4" t="n"/>
      <c r="D40" s="4" t="n"/>
      <c r="E40" s="4" t="n"/>
      <c r="F40" s="16" t="n"/>
      <c r="G40" s="4" t="n"/>
      <c r="H40" s="4" t="n"/>
      <c r="I40" s="4" t="n"/>
      <c r="J40" s="4" t="n"/>
    </row>
    <row r="41">
      <c r="A41" s="14">
        <f>IF(F41&lt;&gt;"",ROW()-4,"")</f>
        <v/>
      </c>
      <c r="B41" s="15" t="n"/>
      <c r="C41" s="4" t="n"/>
      <c r="D41" s="4" t="n"/>
      <c r="E41" s="4" t="n"/>
      <c r="F41" s="16" t="n"/>
      <c r="G41" s="4" t="n"/>
      <c r="H41" s="4" t="n"/>
      <c r="I41" s="4" t="n"/>
      <c r="J41" s="4" t="n"/>
    </row>
    <row r="42">
      <c r="A42" s="18">
        <f>IF(F42&lt;&gt;"",ROW()-4,"")</f>
        <v/>
      </c>
      <c r="B42" s="15" t="n"/>
      <c r="C42" s="4" t="n"/>
      <c r="D42" s="4" t="n"/>
      <c r="E42" s="4" t="n"/>
      <c r="F42" s="16" t="n"/>
      <c r="G42" s="4" t="n"/>
      <c r="H42" s="4" t="n"/>
      <c r="I42" s="4" t="n"/>
      <c r="J42" s="4" t="n"/>
    </row>
    <row r="43">
      <c r="A43" s="14">
        <f>IF(F43&lt;&gt;"",ROW()-4,"")</f>
        <v/>
      </c>
      <c r="B43" s="15" t="n"/>
      <c r="C43" s="4" t="n"/>
      <c r="D43" s="4" t="n"/>
      <c r="E43" s="4" t="n"/>
      <c r="F43" s="16" t="n"/>
      <c r="G43" s="4" t="n"/>
      <c r="H43" s="4" t="n"/>
      <c r="I43" s="4" t="n"/>
      <c r="J43" s="4" t="n"/>
    </row>
    <row r="44">
      <c r="A44" s="18">
        <f>IF(F44&lt;&gt;"",ROW()-4,"")</f>
        <v/>
      </c>
      <c r="B44" s="15" t="n"/>
      <c r="C44" s="4" t="n"/>
      <c r="D44" s="4" t="n"/>
      <c r="E44" s="4" t="n"/>
      <c r="F44" s="16" t="n"/>
      <c r="G44" s="4" t="n"/>
      <c r="H44" s="4" t="n"/>
      <c r="I44" s="4" t="n"/>
      <c r="J44" s="4" t="n"/>
    </row>
    <row r="45">
      <c r="A45" s="14">
        <f>IF(F45&lt;&gt;"",ROW()-4,"")</f>
        <v/>
      </c>
      <c r="B45" s="15" t="n"/>
      <c r="C45" s="4" t="n"/>
      <c r="D45" s="4" t="n"/>
      <c r="E45" s="4" t="n"/>
      <c r="F45" s="16" t="n"/>
      <c r="G45" s="4" t="n"/>
      <c r="H45" s="4" t="n"/>
      <c r="I45" s="4" t="n"/>
      <c r="J45" s="4" t="n"/>
    </row>
    <row r="46">
      <c r="A46" s="18">
        <f>IF(F46&lt;&gt;"",ROW()-4,"")</f>
        <v/>
      </c>
      <c r="B46" s="15" t="n"/>
      <c r="C46" s="4" t="n"/>
      <c r="D46" s="4" t="n"/>
      <c r="E46" s="4" t="n"/>
      <c r="F46" s="16" t="n"/>
      <c r="G46" s="4" t="n"/>
      <c r="H46" s="4" t="n"/>
      <c r="I46" s="4" t="n"/>
      <c r="J46" s="4" t="n"/>
    </row>
    <row r="47">
      <c r="A47" s="14">
        <f>IF(F47&lt;&gt;"",ROW()-4,"")</f>
        <v/>
      </c>
      <c r="B47" s="15" t="n"/>
      <c r="C47" s="4" t="n"/>
      <c r="D47" s="4" t="n"/>
      <c r="E47" s="4" t="n"/>
      <c r="F47" s="16" t="n"/>
      <c r="G47" s="4" t="n"/>
      <c r="H47" s="4" t="n"/>
      <c r="I47" s="4" t="n"/>
      <c r="J47" s="4" t="n"/>
    </row>
    <row r="48">
      <c r="A48" s="18">
        <f>IF(F48&lt;&gt;"",ROW()-4,"")</f>
        <v/>
      </c>
      <c r="B48" s="15" t="n"/>
      <c r="C48" s="4" t="n"/>
      <c r="D48" s="4" t="n"/>
      <c r="E48" s="4" t="n"/>
      <c r="F48" s="16" t="n"/>
      <c r="G48" s="4" t="n"/>
      <c r="H48" s="4" t="n"/>
      <c r="I48" s="4" t="n"/>
      <c r="J48" s="4" t="n"/>
    </row>
    <row r="49">
      <c r="A49" s="14">
        <f>IF(F49&lt;&gt;"",ROW()-4,"")</f>
        <v/>
      </c>
      <c r="B49" s="15" t="n"/>
      <c r="C49" s="4" t="n"/>
      <c r="D49" s="4" t="n"/>
      <c r="E49" s="4" t="n"/>
      <c r="F49" s="16" t="n"/>
      <c r="G49" s="4" t="n"/>
      <c r="H49" s="4" t="n"/>
      <c r="I49" s="4" t="n"/>
      <c r="J49" s="4" t="n"/>
    </row>
    <row r="50">
      <c r="A50" s="18">
        <f>IF(F50&lt;&gt;"",ROW()-4,"")</f>
        <v/>
      </c>
      <c r="B50" s="15" t="n"/>
      <c r="C50" s="4" t="n"/>
      <c r="D50" s="4" t="n"/>
      <c r="E50" s="4" t="n"/>
      <c r="F50" s="16" t="n"/>
      <c r="G50" s="4" t="n"/>
      <c r="H50" s="4" t="n"/>
      <c r="I50" s="4" t="n"/>
      <c r="J50" s="4" t="n"/>
    </row>
    <row r="51">
      <c r="A51" s="14">
        <f>IF(F51&lt;&gt;"",ROW()-4,"")</f>
        <v/>
      </c>
      <c r="B51" s="15" t="n"/>
      <c r="C51" s="4" t="n"/>
      <c r="D51" s="4" t="n"/>
      <c r="E51" s="4" t="n"/>
      <c r="F51" s="16" t="n"/>
      <c r="G51" s="4" t="n"/>
      <c r="H51" s="4" t="n"/>
      <c r="I51" s="4" t="n"/>
      <c r="J51" s="4" t="n"/>
    </row>
    <row r="52">
      <c r="A52" s="18">
        <f>IF(F52&lt;&gt;"",ROW()-4,"")</f>
        <v/>
      </c>
      <c r="B52" s="15" t="n"/>
      <c r="C52" s="4" t="n"/>
      <c r="D52" s="4" t="n"/>
      <c r="E52" s="4" t="n"/>
      <c r="F52" s="16" t="n"/>
      <c r="G52" s="4" t="n"/>
      <c r="H52" s="4" t="n"/>
      <c r="I52" s="4" t="n"/>
      <c r="J52" s="4" t="n"/>
    </row>
    <row r="53">
      <c r="A53" s="14">
        <f>IF(F53&lt;&gt;"",ROW()-4,"")</f>
        <v/>
      </c>
      <c r="B53" s="15" t="n"/>
      <c r="C53" s="4" t="n"/>
      <c r="D53" s="4" t="n"/>
      <c r="E53" s="4" t="n"/>
      <c r="F53" s="16" t="n"/>
      <c r="G53" s="4" t="n"/>
      <c r="H53" s="4" t="n"/>
      <c r="I53" s="4" t="n"/>
      <c r="J53" s="4" t="n"/>
    </row>
    <row r="54">
      <c r="A54" s="18">
        <f>IF(F54&lt;&gt;"",ROW()-4,"")</f>
        <v/>
      </c>
      <c r="B54" s="15" t="n"/>
      <c r="C54" s="4" t="n"/>
      <c r="D54" s="4" t="n"/>
      <c r="E54" s="4" t="n"/>
      <c r="F54" s="16" t="n"/>
      <c r="G54" s="4" t="n"/>
      <c r="H54" s="4" t="n"/>
      <c r="I54" s="4" t="n"/>
      <c r="J54" s="4" t="n"/>
    </row>
    <row r="55">
      <c r="A55" s="14">
        <f>IF(F55&lt;&gt;"",ROW()-4,"")</f>
        <v/>
      </c>
      <c r="B55" s="15" t="n"/>
      <c r="C55" s="4" t="n"/>
      <c r="D55" s="4" t="n"/>
      <c r="E55" s="4" t="n"/>
      <c r="F55" s="16" t="n"/>
      <c r="G55" s="4" t="n"/>
      <c r="H55" s="4" t="n"/>
      <c r="I55" s="4" t="n"/>
      <c r="J55" s="4" t="n"/>
    </row>
    <row r="56">
      <c r="A56" s="18">
        <f>IF(F56&lt;&gt;"",ROW()-4,"")</f>
        <v/>
      </c>
      <c r="B56" s="15" t="n"/>
      <c r="C56" s="4" t="n"/>
      <c r="D56" s="4" t="n"/>
      <c r="E56" s="4" t="n"/>
      <c r="F56" s="16" t="n"/>
      <c r="G56" s="4" t="n"/>
      <c r="H56" s="4" t="n"/>
      <c r="I56" s="4" t="n"/>
      <c r="J56" s="4" t="n"/>
    </row>
    <row r="57">
      <c r="A57" s="14">
        <f>IF(F57&lt;&gt;"",ROW()-4,"")</f>
        <v/>
      </c>
      <c r="B57" s="15" t="n"/>
      <c r="C57" s="4" t="n"/>
      <c r="D57" s="4" t="n"/>
      <c r="E57" s="4" t="n"/>
      <c r="F57" s="16" t="n"/>
      <c r="G57" s="4" t="n"/>
      <c r="H57" s="4" t="n"/>
      <c r="I57" s="4" t="n"/>
      <c r="J57" s="4" t="n"/>
    </row>
    <row r="58">
      <c r="A58" s="18">
        <f>IF(F58&lt;&gt;"",ROW()-4,"")</f>
        <v/>
      </c>
      <c r="B58" s="15" t="n"/>
      <c r="C58" s="4" t="n"/>
      <c r="D58" s="4" t="n"/>
      <c r="E58" s="4" t="n"/>
      <c r="F58" s="16" t="n"/>
      <c r="G58" s="4" t="n"/>
      <c r="H58" s="4" t="n"/>
      <c r="I58" s="4" t="n"/>
      <c r="J58" s="4" t="n"/>
    </row>
    <row r="59">
      <c r="A59" s="14">
        <f>IF(F59&lt;&gt;"",ROW()-4,"")</f>
        <v/>
      </c>
      <c r="B59" s="15" t="n"/>
      <c r="C59" s="4" t="n"/>
      <c r="D59" s="4" t="n"/>
      <c r="E59" s="4" t="n"/>
      <c r="F59" s="16" t="n"/>
      <c r="G59" s="4" t="n"/>
      <c r="H59" s="4" t="n"/>
      <c r="I59" s="4" t="n"/>
      <c r="J59" s="4" t="n"/>
    </row>
    <row r="60">
      <c r="A60" s="18">
        <f>IF(F60&lt;&gt;"",ROW()-4,"")</f>
        <v/>
      </c>
      <c r="B60" s="15" t="n"/>
      <c r="C60" s="4" t="n"/>
      <c r="D60" s="4" t="n"/>
      <c r="E60" s="4" t="n"/>
      <c r="F60" s="16" t="n"/>
      <c r="G60" s="4" t="n"/>
      <c r="H60" s="4" t="n"/>
      <c r="I60" s="4" t="n"/>
      <c r="J60" s="4" t="n"/>
    </row>
    <row r="61">
      <c r="A61" s="14">
        <f>IF(F61&lt;&gt;"",ROW()-4,"")</f>
        <v/>
      </c>
      <c r="B61" s="15" t="n"/>
      <c r="C61" s="4" t="n"/>
      <c r="D61" s="4" t="n"/>
      <c r="E61" s="4" t="n"/>
      <c r="F61" s="16" t="n"/>
      <c r="G61" s="4" t="n"/>
      <c r="H61" s="4" t="n"/>
      <c r="I61" s="4" t="n"/>
      <c r="J61" s="4" t="n"/>
    </row>
    <row r="62">
      <c r="A62" s="18">
        <f>IF(F62&lt;&gt;"",ROW()-4,"")</f>
        <v/>
      </c>
      <c r="B62" s="15" t="n"/>
      <c r="C62" s="4" t="n"/>
      <c r="D62" s="4" t="n"/>
      <c r="E62" s="4" t="n"/>
      <c r="F62" s="16" t="n"/>
      <c r="G62" s="4" t="n"/>
      <c r="H62" s="4" t="n"/>
      <c r="I62" s="4" t="n"/>
      <c r="J62" s="4" t="n"/>
    </row>
    <row r="63">
      <c r="A63" s="14">
        <f>IF(F63&lt;&gt;"",ROW()-4,"")</f>
        <v/>
      </c>
      <c r="B63" s="15" t="n"/>
      <c r="C63" s="4" t="n"/>
      <c r="D63" s="4" t="n"/>
      <c r="E63" s="4" t="n"/>
      <c r="F63" s="16" t="n"/>
      <c r="G63" s="4" t="n"/>
      <c r="H63" s="4" t="n"/>
      <c r="I63" s="4" t="n"/>
      <c r="J63" s="4" t="n"/>
    </row>
    <row r="64">
      <c r="A64" s="18">
        <f>IF(F64&lt;&gt;"",ROW()-4,"")</f>
        <v/>
      </c>
      <c r="B64" s="15" t="n"/>
      <c r="C64" s="4" t="n"/>
      <c r="D64" s="4" t="n"/>
      <c r="E64" s="4" t="n"/>
      <c r="F64" s="16" t="n"/>
      <c r="G64" s="4" t="n"/>
      <c r="H64" s="4" t="n"/>
      <c r="I64" s="4" t="n"/>
      <c r="J64" s="4" t="n"/>
    </row>
    <row r="65">
      <c r="A65" s="14">
        <f>IF(F65&lt;&gt;"",ROW()-4,"")</f>
        <v/>
      </c>
      <c r="B65" s="15" t="n"/>
      <c r="C65" s="4" t="n"/>
      <c r="D65" s="4" t="n"/>
      <c r="E65" s="4" t="n"/>
      <c r="F65" s="16" t="n"/>
      <c r="G65" s="4" t="n"/>
      <c r="H65" s="4" t="n"/>
      <c r="I65" s="4" t="n"/>
      <c r="J65" s="4" t="n"/>
    </row>
    <row r="66">
      <c r="A66" s="18">
        <f>IF(F66&lt;&gt;"",ROW()-4,"")</f>
        <v/>
      </c>
      <c r="B66" s="15" t="n"/>
      <c r="C66" s="4" t="n"/>
      <c r="D66" s="4" t="n"/>
      <c r="E66" s="4" t="n"/>
      <c r="F66" s="16" t="n"/>
      <c r="G66" s="4" t="n"/>
      <c r="H66" s="4" t="n"/>
      <c r="I66" s="4" t="n"/>
      <c r="J66" s="4" t="n"/>
    </row>
    <row r="67">
      <c r="A67" s="14">
        <f>IF(F67&lt;&gt;"",ROW()-4,"")</f>
        <v/>
      </c>
      <c r="B67" s="15" t="n"/>
      <c r="C67" s="4" t="n"/>
      <c r="D67" s="4" t="n"/>
      <c r="E67" s="4" t="n"/>
      <c r="F67" s="16" t="n"/>
      <c r="G67" s="4" t="n"/>
      <c r="H67" s="4" t="n"/>
      <c r="I67" s="4" t="n"/>
      <c r="J67" s="4" t="n"/>
    </row>
    <row r="68">
      <c r="A68" s="18">
        <f>IF(F68&lt;&gt;"",ROW()-4,"")</f>
        <v/>
      </c>
      <c r="B68" s="15" t="n"/>
      <c r="C68" s="4" t="n"/>
      <c r="D68" s="4" t="n"/>
      <c r="E68" s="4" t="n"/>
      <c r="F68" s="16" t="n"/>
      <c r="G68" s="4" t="n"/>
      <c r="H68" s="4" t="n"/>
      <c r="I68" s="4" t="n"/>
      <c r="J68" s="4" t="n"/>
    </row>
    <row r="69">
      <c r="A69" s="14">
        <f>IF(F69&lt;&gt;"",ROW()-4,"")</f>
        <v/>
      </c>
      <c r="B69" s="15" t="n"/>
      <c r="C69" s="4" t="n"/>
      <c r="D69" s="4" t="n"/>
      <c r="E69" s="4" t="n"/>
      <c r="F69" s="16" t="n"/>
      <c r="G69" s="4" t="n"/>
      <c r="H69" s="4" t="n"/>
      <c r="I69" s="4" t="n"/>
      <c r="J69" s="4" t="n"/>
    </row>
    <row r="70">
      <c r="A70" s="18">
        <f>IF(F70&lt;&gt;"",ROW()-4,"")</f>
        <v/>
      </c>
      <c r="B70" s="15" t="n"/>
      <c r="C70" s="4" t="n"/>
      <c r="D70" s="4" t="n"/>
      <c r="E70" s="4" t="n"/>
      <c r="F70" s="16" t="n"/>
      <c r="G70" s="4" t="n"/>
      <c r="H70" s="4" t="n"/>
      <c r="I70" s="4" t="n"/>
      <c r="J70" s="4" t="n"/>
    </row>
    <row r="71">
      <c r="A71" s="14">
        <f>IF(F71&lt;&gt;"",ROW()-4,"")</f>
        <v/>
      </c>
      <c r="B71" s="15" t="n"/>
      <c r="C71" s="4" t="n"/>
      <c r="D71" s="4" t="n"/>
      <c r="E71" s="4" t="n"/>
      <c r="F71" s="16" t="n"/>
      <c r="G71" s="4" t="n"/>
      <c r="H71" s="4" t="n"/>
      <c r="I71" s="4" t="n"/>
      <c r="J71" s="4" t="n"/>
    </row>
    <row r="72">
      <c r="A72" s="18">
        <f>IF(F72&lt;&gt;"",ROW()-4,"")</f>
        <v/>
      </c>
      <c r="B72" s="15" t="n"/>
      <c r="C72" s="4" t="n"/>
      <c r="D72" s="4" t="n"/>
      <c r="E72" s="4" t="n"/>
      <c r="F72" s="16" t="n"/>
      <c r="G72" s="4" t="n"/>
      <c r="H72" s="4" t="n"/>
      <c r="I72" s="4" t="n"/>
      <c r="J72" s="4" t="n"/>
    </row>
    <row r="73">
      <c r="A73" s="14">
        <f>IF(F73&lt;&gt;"",ROW()-4,"")</f>
        <v/>
      </c>
      <c r="B73" s="15" t="n"/>
      <c r="C73" s="4" t="n"/>
      <c r="D73" s="4" t="n"/>
      <c r="E73" s="4" t="n"/>
      <c r="F73" s="16" t="n"/>
      <c r="G73" s="4" t="n"/>
      <c r="H73" s="4" t="n"/>
      <c r="I73" s="4" t="n"/>
      <c r="J73" s="4" t="n"/>
    </row>
    <row r="74">
      <c r="A74" s="18">
        <f>IF(F74&lt;&gt;"",ROW()-4,"")</f>
        <v/>
      </c>
      <c r="B74" s="15" t="n"/>
      <c r="C74" s="4" t="n"/>
      <c r="D74" s="4" t="n"/>
      <c r="E74" s="4" t="n"/>
      <c r="F74" s="16" t="n"/>
      <c r="G74" s="4" t="n"/>
      <c r="H74" s="4" t="n"/>
      <c r="I74" s="4" t="n"/>
      <c r="J74" s="4" t="n"/>
    </row>
    <row r="75">
      <c r="A75" s="14">
        <f>IF(F75&lt;&gt;"",ROW()-4,"")</f>
        <v/>
      </c>
      <c r="B75" s="15" t="n"/>
      <c r="C75" s="4" t="n"/>
      <c r="D75" s="4" t="n"/>
      <c r="E75" s="4" t="n"/>
      <c r="F75" s="16" t="n"/>
      <c r="G75" s="4" t="n"/>
      <c r="H75" s="4" t="n"/>
      <c r="I75" s="4" t="n"/>
      <c r="J75" s="4" t="n"/>
    </row>
    <row r="76">
      <c r="A76" s="18">
        <f>IF(F76&lt;&gt;"",ROW()-4,"")</f>
        <v/>
      </c>
      <c r="B76" s="15" t="n"/>
      <c r="C76" s="4" t="n"/>
      <c r="D76" s="4" t="n"/>
      <c r="E76" s="4" t="n"/>
      <c r="F76" s="16" t="n"/>
      <c r="G76" s="4" t="n"/>
      <c r="H76" s="4" t="n"/>
      <c r="I76" s="4" t="n"/>
      <c r="J76" s="4" t="n"/>
    </row>
    <row r="77">
      <c r="A77" s="14">
        <f>IF(F77&lt;&gt;"",ROW()-4,"")</f>
        <v/>
      </c>
      <c r="B77" s="15" t="n"/>
      <c r="C77" s="4" t="n"/>
      <c r="D77" s="4" t="n"/>
      <c r="E77" s="4" t="n"/>
      <c r="F77" s="16" t="n"/>
      <c r="G77" s="4" t="n"/>
      <c r="H77" s="4" t="n"/>
      <c r="I77" s="4" t="n"/>
      <c r="J77" s="4" t="n"/>
    </row>
    <row r="78">
      <c r="A78" s="18">
        <f>IF(F78&lt;&gt;"",ROW()-4,"")</f>
        <v/>
      </c>
      <c r="B78" s="15" t="n"/>
      <c r="C78" s="4" t="n"/>
      <c r="D78" s="4" t="n"/>
      <c r="E78" s="4" t="n"/>
      <c r="F78" s="16" t="n"/>
      <c r="G78" s="4" t="n"/>
      <c r="H78" s="4" t="n"/>
      <c r="I78" s="4" t="n"/>
      <c r="J78" s="4" t="n"/>
    </row>
    <row r="79">
      <c r="A79" s="14">
        <f>IF(F79&lt;&gt;"",ROW()-4,"")</f>
        <v/>
      </c>
      <c r="B79" s="15" t="n"/>
      <c r="C79" s="4" t="n"/>
      <c r="D79" s="4" t="n"/>
      <c r="E79" s="4" t="n"/>
      <c r="F79" s="16" t="n"/>
      <c r="G79" s="4" t="n"/>
      <c r="H79" s="4" t="n"/>
      <c r="I79" s="4" t="n"/>
      <c r="J79" s="4" t="n"/>
    </row>
    <row r="80">
      <c r="A80" s="18">
        <f>IF(F80&lt;&gt;"",ROW()-4,"")</f>
        <v/>
      </c>
      <c r="B80" s="15" t="n"/>
      <c r="C80" s="4" t="n"/>
      <c r="D80" s="4" t="n"/>
      <c r="E80" s="4" t="n"/>
      <c r="F80" s="16" t="n"/>
      <c r="G80" s="4" t="n"/>
      <c r="H80" s="4" t="n"/>
      <c r="I80" s="4" t="n"/>
      <c r="J80" s="4" t="n"/>
    </row>
    <row r="81">
      <c r="A81" s="14">
        <f>IF(F81&lt;&gt;"",ROW()-4,"")</f>
        <v/>
      </c>
      <c r="B81" s="15" t="n"/>
      <c r="C81" s="4" t="n"/>
      <c r="D81" s="4" t="n"/>
      <c r="E81" s="4" t="n"/>
      <c r="F81" s="16" t="n"/>
      <c r="G81" s="4" t="n"/>
      <c r="H81" s="4" t="n"/>
      <c r="I81" s="4" t="n"/>
      <c r="J81" s="4" t="n"/>
    </row>
    <row r="82">
      <c r="A82" s="18">
        <f>IF(F82&lt;&gt;"",ROW()-4,"")</f>
        <v/>
      </c>
      <c r="B82" s="15" t="n"/>
      <c r="C82" s="4" t="n"/>
      <c r="D82" s="4" t="n"/>
      <c r="E82" s="4" t="n"/>
      <c r="F82" s="16" t="n"/>
      <c r="G82" s="4" t="n"/>
      <c r="H82" s="4" t="n"/>
      <c r="I82" s="4" t="n"/>
      <c r="J82" s="4" t="n"/>
    </row>
    <row r="83">
      <c r="A83" s="14">
        <f>IF(F83&lt;&gt;"",ROW()-4,"")</f>
        <v/>
      </c>
      <c r="B83" s="15" t="n"/>
      <c r="C83" s="4" t="n"/>
      <c r="D83" s="4" t="n"/>
      <c r="E83" s="4" t="n"/>
      <c r="F83" s="16" t="n"/>
      <c r="G83" s="4" t="n"/>
      <c r="H83" s="4" t="n"/>
      <c r="I83" s="4" t="n"/>
      <c r="J83" s="4" t="n"/>
    </row>
    <row r="84">
      <c r="A84" s="18">
        <f>IF(F84&lt;&gt;"",ROW()-4,"")</f>
        <v/>
      </c>
      <c r="B84" s="15" t="n"/>
      <c r="C84" s="4" t="n"/>
      <c r="D84" s="4" t="n"/>
      <c r="E84" s="4" t="n"/>
      <c r="F84" s="16" t="n"/>
      <c r="G84" s="4" t="n"/>
      <c r="H84" s="4" t="n"/>
      <c r="I84" s="4" t="n"/>
      <c r="J84" s="4" t="n"/>
    </row>
    <row r="85">
      <c r="A85" s="14">
        <f>IF(F85&lt;&gt;"",ROW()-4,"")</f>
        <v/>
      </c>
      <c r="B85" s="15" t="n"/>
      <c r="C85" s="4" t="n"/>
      <c r="D85" s="4" t="n"/>
      <c r="E85" s="4" t="n"/>
      <c r="F85" s="16" t="n"/>
      <c r="G85" s="4" t="n"/>
      <c r="H85" s="4" t="n"/>
      <c r="I85" s="4" t="n"/>
      <c r="J85" s="4" t="n"/>
    </row>
    <row r="86">
      <c r="A86" s="18">
        <f>IF(F86&lt;&gt;"",ROW()-4,"")</f>
        <v/>
      </c>
      <c r="B86" s="15" t="n"/>
      <c r="C86" s="4" t="n"/>
      <c r="D86" s="4" t="n"/>
      <c r="E86" s="4" t="n"/>
      <c r="F86" s="16" t="n"/>
      <c r="G86" s="4" t="n"/>
      <c r="H86" s="4" t="n"/>
      <c r="I86" s="4" t="n"/>
      <c r="J86" s="4" t="n"/>
    </row>
    <row r="87">
      <c r="A87" s="14">
        <f>IF(F87&lt;&gt;"",ROW()-4,"")</f>
        <v/>
      </c>
      <c r="B87" s="15" t="n"/>
      <c r="C87" s="4" t="n"/>
      <c r="D87" s="4" t="n"/>
      <c r="E87" s="4" t="n"/>
      <c r="F87" s="16" t="n"/>
      <c r="G87" s="4" t="n"/>
      <c r="H87" s="4" t="n"/>
      <c r="I87" s="4" t="n"/>
      <c r="J87" s="4" t="n"/>
    </row>
    <row r="88">
      <c r="A88" s="18">
        <f>IF(F88&lt;&gt;"",ROW()-4,"")</f>
        <v/>
      </c>
      <c r="B88" s="15" t="n"/>
      <c r="C88" s="4" t="n"/>
      <c r="D88" s="4" t="n"/>
      <c r="E88" s="4" t="n"/>
      <c r="F88" s="16" t="n"/>
      <c r="G88" s="4" t="n"/>
      <c r="H88" s="4" t="n"/>
      <c r="I88" s="4" t="n"/>
      <c r="J88" s="4" t="n"/>
    </row>
    <row r="89">
      <c r="A89" s="14">
        <f>IF(F89&lt;&gt;"",ROW()-4,"")</f>
        <v/>
      </c>
      <c r="B89" s="15" t="n"/>
      <c r="C89" s="4" t="n"/>
      <c r="D89" s="4" t="n"/>
      <c r="E89" s="4" t="n"/>
      <c r="F89" s="16" t="n"/>
      <c r="G89" s="4" t="n"/>
      <c r="H89" s="4" t="n"/>
      <c r="I89" s="4" t="n"/>
      <c r="J89" s="4" t="n"/>
    </row>
    <row r="90">
      <c r="A90" s="18">
        <f>IF(F90&lt;&gt;"",ROW()-4,"")</f>
        <v/>
      </c>
      <c r="B90" s="15" t="n"/>
      <c r="C90" s="4" t="n"/>
      <c r="D90" s="4" t="n"/>
      <c r="E90" s="4" t="n"/>
      <c r="F90" s="16" t="n"/>
      <c r="G90" s="4" t="n"/>
      <c r="H90" s="4" t="n"/>
      <c r="I90" s="4" t="n"/>
      <c r="J90" s="4" t="n"/>
    </row>
    <row r="91">
      <c r="A91" s="14">
        <f>IF(F91&lt;&gt;"",ROW()-4,"")</f>
        <v/>
      </c>
      <c r="B91" s="15" t="n"/>
      <c r="C91" s="4" t="n"/>
      <c r="D91" s="4" t="n"/>
      <c r="E91" s="4" t="n"/>
      <c r="F91" s="16" t="n"/>
      <c r="G91" s="4" t="n"/>
      <c r="H91" s="4" t="n"/>
      <c r="I91" s="4" t="n"/>
      <c r="J91" s="4" t="n"/>
    </row>
    <row r="92">
      <c r="A92" s="18">
        <f>IF(F92&lt;&gt;"",ROW()-4,"")</f>
        <v/>
      </c>
      <c r="B92" s="15" t="n"/>
      <c r="C92" s="4" t="n"/>
      <c r="D92" s="4" t="n"/>
      <c r="E92" s="4" t="n"/>
      <c r="F92" s="16" t="n"/>
      <c r="G92" s="4" t="n"/>
      <c r="H92" s="4" t="n"/>
      <c r="I92" s="4" t="n"/>
      <c r="J92" s="4" t="n"/>
    </row>
    <row r="93">
      <c r="A93" s="14">
        <f>IF(F93&lt;&gt;"",ROW()-4,"")</f>
        <v/>
      </c>
      <c r="B93" s="15" t="n"/>
      <c r="C93" s="4" t="n"/>
      <c r="D93" s="4" t="n"/>
      <c r="E93" s="4" t="n"/>
      <c r="F93" s="16" t="n"/>
      <c r="G93" s="4" t="n"/>
      <c r="H93" s="4" t="n"/>
      <c r="I93" s="4" t="n"/>
      <c r="J93" s="4" t="n"/>
    </row>
    <row r="94">
      <c r="A94" s="18">
        <f>IF(F94&lt;&gt;"",ROW()-4,"")</f>
        <v/>
      </c>
      <c r="B94" s="15" t="n"/>
      <c r="C94" s="4" t="n"/>
      <c r="D94" s="4" t="n"/>
      <c r="E94" s="4" t="n"/>
      <c r="F94" s="16" t="n"/>
      <c r="G94" s="4" t="n"/>
      <c r="H94" s="4" t="n"/>
      <c r="I94" s="4" t="n"/>
      <c r="J94" s="4" t="n"/>
    </row>
    <row r="95">
      <c r="A95" s="14">
        <f>IF(F95&lt;&gt;"",ROW()-4,"")</f>
        <v/>
      </c>
      <c r="B95" s="15" t="n"/>
      <c r="C95" s="4" t="n"/>
      <c r="D95" s="4" t="n"/>
      <c r="E95" s="4" t="n"/>
      <c r="F95" s="16" t="n"/>
      <c r="G95" s="4" t="n"/>
      <c r="H95" s="4" t="n"/>
      <c r="I95" s="4" t="n"/>
      <c r="J95" s="4" t="n"/>
    </row>
    <row r="96">
      <c r="A96" s="18">
        <f>IF(F96&lt;&gt;"",ROW()-4,"")</f>
        <v/>
      </c>
      <c r="B96" s="15" t="n"/>
      <c r="C96" s="4" t="n"/>
      <c r="D96" s="4" t="n"/>
      <c r="E96" s="4" t="n"/>
      <c r="F96" s="16" t="n"/>
      <c r="G96" s="4" t="n"/>
      <c r="H96" s="4" t="n"/>
      <c r="I96" s="4" t="n"/>
      <c r="J96" s="4" t="n"/>
    </row>
    <row r="97">
      <c r="A97" s="14">
        <f>IF(F97&lt;&gt;"",ROW()-4,"")</f>
        <v/>
      </c>
      <c r="B97" s="15" t="n"/>
      <c r="C97" s="4" t="n"/>
      <c r="D97" s="4" t="n"/>
      <c r="E97" s="4" t="n"/>
      <c r="F97" s="16" t="n"/>
      <c r="G97" s="4" t="n"/>
      <c r="H97" s="4" t="n"/>
      <c r="I97" s="4" t="n"/>
      <c r="J97" s="4" t="n"/>
    </row>
    <row r="98">
      <c r="A98" s="18">
        <f>IF(F98&lt;&gt;"",ROW()-4,"")</f>
        <v/>
      </c>
      <c r="B98" s="15" t="n"/>
      <c r="C98" s="4" t="n"/>
      <c r="D98" s="4" t="n"/>
      <c r="E98" s="4" t="n"/>
      <c r="F98" s="16" t="n"/>
      <c r="G98" s="4" t="n"/>
      <c r="H98" s="4" t="n"/>
      <c r="I98" s="4" t="n"/>
      <c r="J98" s="4" t="n"/>
    </row>
    <row r="99">
      <c r="A99" s="14">
        <f>IF(F99&lt;&gt;"",ROW()-4,"")</f>
        <v/>
      </c>
      <c r="B99" s="15" t="n"/>
      <c r="C99" s="4" t="n"/>
      <c r="D99" s="4" t="n"/>
      <c r="E99" s="4" t="n"/>
      <c r="F99" s="16" t="n"/>
      <c r="G99" s="4" t="n"/>
      <c r="H99" s="4" t="n"/>
      <c r="I99" s="4" t="n"/>
      <c r="J99" s="4" t="n"/>
    </row>
    <row r="100">
      <c r="A100" s="18">
        <f>IF(F100&lt;&gt;"",ROW()-4,"")</f>
        <v/>
      </c>
      <c r="B100" s="15" t="n"/>
      <c r="C100" s="4" t="n"/>
      <c r="D100" s="4" t="n"/>
      <c r="E100" s="4" t="n"/>
      <c r="F100" s="16" t="n"/>
      <c r="G100" s="4" t="n"/>
      <c r="H100" s="4" t="n"/>
      <c r="I100" s="4" t="n"/>
      <c r="J100" s="4" t="n"/>
    </row>
    <row r="101">
      <c r="A101" s="14">
        <f>IF(F101&lt;&gt;"",ROW()-4,"")</f>
        <v/>
      </c>
      <c r="B101" s="15" t="n"/>
      <c r="C101" s="4" t="n"/>
      <c r="D101" s="4" t="n"/>
      <c r="E101" s="4" t="n"/>
      <c r="F101" s="16" t="n"/>
      <c r="G101" s="4" t="n"/>
      <c r="H101" s="4" t="n"/>
      <c r="I101" s="4" t="n"/>
      <c r="J101" s="4" t="n"/>
    </row>
    <row r="102">
      <c r="A102" s="18">
        <f>IF(F102&lt;&gt;"",ROW()-4,"")</f>
        <v/>
      </c>
      <c r="B102" s="15" t="n"/>
      <c r="C102" s="4" t="n"/>
      <c r="D102" s="4" t="n"/>
      <c r="E102" s="4" t="n"/>
      <c r="F102" s="16" t="n"/>
      <c r="G102" s="4" t="n"/>
      <c r="H102" s="4" t="n"/>
      <c r="I102" s="4" t="n"/>
      <c r="J102" s="4" t="n"/>
    </row>
    <row r="103">
      <c r="A103" s="14">
        <f>IF(F103&lt;&gt;"",ROW()-4,"")</f>
        <v/>
      </c>
      <c r="B103" s="15" t="n"/>
      <c r="C103" s="4" t="n"/>
      <c r="D103" s="4" t="n"/>
      <c r="E103" s="4" t="n"/>
      <c r="F103" s="16" t="n"/>
      <c r="G103" s="4" t="n"/>
      <c r="H103" s="4" t="n"/>
      <c r="I103" s="4" t="n"/>
      <c r="J103" s="4" t="n"/>
    </row>
    <row r="104">
      <c r="A104" s="18">
        <f>IF(F104&lt;&gt;"",ROW()-4,"")</f>
        <v/>
      </c>
      <c r="B104" s="15" t="n"/>
      <c r="C104" s="4" t="n"/>
      <c r="D104" s="4" t="n"/>
      <c r="E104" s="4" t="n"/>
      <c r="F104" s="16" t="n"/>
      <c r="G104" s="4" t="n"/>
      <c r="H104" s="4" t="n"/>
      <c r="I104" s="4" t="n"/>
      <c r="J104" s="4" t="n"/>
    </row>
    <row r="105">
      <c r="A105" s="14">
        <f>IF(F105&lt;&gt;"",ROW()-4,"")</f>
        <v/>
      </c>
      <c r="B105" s="15" t="n"/>
      <c r="C105" s="4" t="n"/>
      <c r="D105" s="4" t="n"/>
      <c r="E105" s="4" t="n"/>
      <c r="F105" s="16" t="n"/>
      <c r="G105" s="4" t="n"/>
      <c r="H105" s="4" t="n"/>
      <c r="I105" s="4" t="n"/>
      <c r="J105" s="4" t="n"/>
    </row>
    <row r="106">
      <c r="A106" s="18">
        <f>IF(F106&lt;&gt;"",ROW()-4,"")</f>
        <v/>
      </c>
      <c r="B106" s="15" t="n"/>
      <c r="C106" s="4" t="n"/>
      <c r="D106" s="4" t="n"/>
      <c r="E106" s="4" t="n"/>
      <c r="F106" s="16" t="n"/>
      <c r="G106" s="4" t="n"/>
      <c r="H106" s="4" t="n"/>
      <c r="I106" s="4" t="n"/>
      <c r="J106" s="4" t="n"/>
    </row>
    <row r="107">
      <c r="A107" s="14">
        <f>IF(F107&lt;&gt;"",ROW()-4,"")</f>
        <v/>
      </c>
      <c r="B107" s="15" t="n"/>
      <c r="C107" s="4" t="n"/>
      <c r="D107" s="4" t="n"/>
      <c r="E107" s="4" t="n"/>
      <c r="F107" s="16" t="n"/>
      <c r="G107" s="4" t="n"/>
      <c r="H107" s="4" t="n"/>
      <c r="I107" s="4" t="n"/>
      <c r="J107" s="4" t="n"/>
    </row>
    <row r="108">
      <c r="A108" s="18">
        <f>IF(F108&lt;&gt;"",ROW()-4,"")</f>
        <v/>
      </c>
      <c r="B108" s="15" t="n"/>
      <c r="C108" s="4" t="n"/>
      <c r="D108" s="4" t="n"/>
      <c r="E108" s="4" t="n"/>
      <c r="F108" s="16" t="n"/>
      <c r="G108" s="4" t="n"/>
      <c r="H108" s="4" t="n"/>
      <c r="I108" s="4" t="n"/>
      <c r="J108" s="4" t="n"/>
    </row>
    <row r="109">
      <c r="A109" s="14">
        <f>IF(F109&lt;&gt;"",ROW()-4,"")</f>
        <v/>
      </c>
      <c r="B109" s="15" t="n"/>
      <c r="C109" s="4" t="n"/>
      <c r="D109" s="4" t="n"/>
      <c r="E109" s="4" t="n"/>
      <c r="F109" s="16" t="n"/>
      <c r="G109" s="4" t="n"/>
      <c r="H109" s="4" t="n"/>
      <c r="I109" s="4" t="n"/>
      <c r="J109" s="4" t="n"/>
    </row>
    <row r="110">
      <c r="A110" s="18">
        <f>IF(F110&lt;&gt;"",ROW()-4,"")</f>
        <v/>
      </c>
      <c r="B110" s="15" t="n"/>
      <c r="C110" s="4" t="n"/>
      <c r="D110" s="4" t="n"/>
      <c r="E110" s="4" t="n"/>
      <c r="F110" s="16" t="n"/>
      <c r="G110" s="4" t="n"/>
      <c r="H110" s="4" t="n"/>
      <c r="I110" s="4" t="n"/>
      <c r="J110" s="4" t="n"/>
    </row>
    <row r="111">
      <c r="A111" s="14">
        <f>IF(F111&lt;&gt;"",ROW()-4,"")</f>
        <v/>
      </c>
      <c r="B111" s="15" t="n"/>
      <c r="C111" s="4" t="n"/>
      <c r="D111" s="4" t="n"/>
      <c r="E111" s="4" t="n"/>
      <c r="F111" s="16" t="n"/>
      <c r="G111" s="4" t="n"/>
      <c r="H111" s="4" t="n"/>
      <c r="I111" s="4" t="n"/>
      <c r="J111" s="4" t="n"/>
    </row>
    <row r="112">
      <c r="A112" s="18">
        <f>IF(F112&lt;&gt;"",ROW()-4,"")</f>
        <v/>
      </c>
      <c r="B112" s="15" t="n"/>
      <c r="C112" s="4" t="n"/>
      <c r="D112" s="4" t="n"/>
      <c r="E112" s="4" t="n"/>
      <c r="F112" s="16" t="n"/>
      <c r="G112" s="4" t="n"/>
      <c r="H112" s="4" t="n"/>
      <c r="I112" s="4" t="n"/>
      <c r="J112" s="4" t="n"/>
    </row>
    <row r="113">
      <c r="A113" s="14">
        <f>IF(F113&lt;&gt;"",ROW()-4,"")</f>
        <v/>
      </c>
      <c r="B113" s="15" t="n"/>
      <c r="C113" s="4" t="n"/>
      <c r="D113" s="4" t="n"/>
      <c r="E113" s="4" t="n"/>
      <c r="F113" s="16" t="n"/>
      <c r="G113" s="4" t="n"/>
      <c r="H113" s="4" t="n"/>
      <c r="I113" s="4" t="n"/>
      <c r="J113" s="4" t="n"/>
    </row>
    <row r="114">
      <c r="A114" s="18">
        <f>IF(F114&lt;&gt;"",ROW()-4,"")</f>
        <v/>
      </c>
      <c r="B114" s="15" t="n"/>
      <c r="C114" s="4" t="n"/>
      <c r="D114" s="4" t="n"/>
      <c r="E114" s="4" t="n"/>
      <c r="F114" s="16" t="n"/>
      <c r="G114" s="4" t="n"/>
      <c r="H114" s="4" t="n"/>
      <c r="I114" s="4" t="n"/>
      <c r="J114" s="4" t="n"/>
    </row>
    <row r="115">
      <c r="A115" s="14">
        <f>IF(F115&lt;&gt;"",ROW()-4,"")</f>
        <v/>
      </c>
      <c r="B115" s="15" t="n"/>
      <c r="C115" s="4" t="n"/>
      <c r="D115" s="4" t="n"/>
      <c r="E115" s="4" t="n"/>
      <c r="F115" s="16" t="n"/>
      <c r="G115" s="4" t="n"/>
      <c r="H115" s="4" t="n"/>
      <c r="I115" s="4" t="n"/>
      <c r="J115" s="4" t="n"/>
    </row>
    <row r="116">
      <c r="A116" s="18">
        <f>IF(F116&lt;&gt;"",ROW()-4,"")</f>
        <v/>
      </c>
      <c r="B116" s="15" t="n"/>
      <c r="C116" s="4" t="n"/>
      <c r="D116" s="4" t="n"/>
      <c r="E116" s="4" t="n"/>
      <c r="F116" s="16" t="n"/>
      <c r="G116" s="4" t="n"/>
      <c r="H116" s="4" t="n"/>
      <c r="I116" s="4" t="n"/>
      <c r="J116" s="4" t="n"/>
    </row>
    <row r="117">
      <c r="A117" s="14">
        <f>IF(F117&lt;&gt;"",ROW()-4,"")</f>
        <v/>
      </c>
      <c r="B117" s="15" t="n"/>
      <c r="C117" s="4" t="n"/>
      <c r="D117" s="4" t="n"/>
      <c r="E117" s="4" t="n"/>
      <c r="F117" s="16" t="n"/>
      <c r="G117" s="4" t="n"/>
      <c r="H117" s="4" t="n"/>
      <c r="I117" s="4" t="n"/>
      <c r="J117" s="4" t="n"/>
    </row>
    <row r="118">
      <c r="A118" s="18">
        <f>IF(F118&lt;&gt;"",ROW()-4,"")</f>
        <v/>
      </c>
      <c r="B118" s="15" t="n"/>
      <c r="C118" s="4" t="n"/>
      <c r="D118" s="4" t="n"/>
      <c r="E118" s="4" t="n"/>
      <c r="F118" s="16" t="n"/>
      <c r="G118" s="4" t="n"/>
      <c r="H118" s="4" t="n"/>
      <c r="I118" s="4" t="n"/>
      <c r="J118" s="4" t="n"/>
    </row>
    <row r="119">
      <c r="A119" s="14">
        <f>IF(F119&lt;&gt;"",ROW()-4,"")</f>
        <v/>
      </c>
      <c r="B119" s="15" t="n"/>
      <c r="C119" s="4" t="n"/>
      <c r="D119" s="4" t="n"/>
      <c r="E119" s="4" t="n"/>
      <c r="F119" s="16" t="n"/>
      <c r="G119" s="4" t="n"/>
      <c r="H119" s="4" t="n"/>
      <c r="I119" s="4" t="n"/>
      <c r="J119" s="4" t="n"/>
    </row>
    <row r="120">
      <c r="A120" s="18">
        <f>IF(F120&lt;&gt;"",ROW()-4,"")</f>
        <v/>
      </c>
      <c r="B120" s="15" t="n"/>
      <c r="C120" s="4" t="n"/>
      <c r="D120" s="4" t="n"/>
      <c r="E120" s="4" t="n"/>
      <c r="F120" s="16" t="n"/>
      <c r="G120" s="4" t="n"/>
      <c r="H120" s="4" t="n"/>
      <c r="I120" s="4" t="n"/>
      <c r="J120" s="4" t="n"/>
    </row>
    <row r="121">
      <c r="A121" s="14">
        <f>IF(F121&lt;&gt;"",ROW()-4,"")</f>
        <v/>
      </c>
      <c r="B121" s="15" t="n"/>
      <c r="C121" s="4" t="n"/>
      <c r="D121" s="4" t="n"/>
      <c r="E121" s="4" t="n"/>
      <c r="F121" s="16" t="n"/>
      <c r="G121" s="4" t="n"/>
      <c r="H121" s="4" t="n"/>
      <c r="I121" s="4" t="n"/>
      <c r="J121" s="4" t="n"/>
    </row>
    <row r="122">
      <c r="A122" s="18">
        <f>IF(F122&lt;&gt;"",ROW()-4,"")</f>
        <v/>
      </c>
      <c r="B122" s="15" t="n"/>
      <c r="C122" s="4" t="n"/>
      <c r="D122" s="4" t="n"/>
      <c r="E122" s="4" t="n"/>
      <c r="F122" s="16" t="n"/>
      <c r="G122" s="4" t="n"/>
      <c r="H122" s="4" t="n"/>
      <c r="I122" s="4" t="n"/>
      <c r="J122" s="4" t="n"/>
    </row>
    <row r="123">
      <c r="A123" s="14">
        <f>IF(F123&lt;&gt;"",ROW()-4,"")</f>
        <v/>
      </c>
      <c r="B123" s="15" t="n"/>
      <c r="C123" s="4" t="n"/>
      <c r="D123" s="4" t="n"/>
      <c r="E123" s="4" t="n"/>
      <c r="F123" s="16" t="n"/>
      <c r="G123" s="4" t="n"/>
      <c r="H123" s="4" t="n"/>
      <c r="I123" s="4" t="n"/>
      <c r="J123" s="4" t="n"/>
    </row>
    <row r="124">
      <c r="A124" s="18">
        <f>IF(F124&lt;&gt;"",ROW()-4,"")</f>
        <v/>
      </c>
      <c r="B124" s="15" t="n"/>
      <c r="C124" s="4" t="n"/>
      <c r="D124" s="4" t="n"/>
      <c r="E124" s="4" t="n"/>
      <c r="F124" s="16" t="n"/>
      <c r="G124" s="4" t="n"/>
      <c r="H124" s="4" t="n"/>
      <c r="I124" s="4" t="n"/>
      <c r="J124" s="4" t="n"/>
    </row>
    <row r="125">
      <c r="A125" s="14">
        <f>IF(F125&lt;&gt;"",ROW()-4,"")</f>
        <v/>
      </c>
      <c r="B125" s="15" t="n"/>
      <c r="C125" s="4" t="n"/>
      <c r="D125" s="4" t="n"/>
      <c r="E125" s="4" t="n"/>
      <c r="F125" s="16" t="n"/>
      <c r="G125" s="4" t="n"/>
      <c r="H125" s="4" t="n"/>
      <c r="I125" s="4" t="n"/>
      <c r="J125" s="4" t="n"/>
    </row>
    <row r="126">
      <c r="A126" s="18">
        <f>IF(F126&lt;&gt;"",ROW()-4,"")</f>
        <v/>
      </c>
      <c r="B126" s="15" t="n"/>
      <c r="C126" s="4" t="n"/>
      <c r="D126" s="4" t="n"/>
      <c r="E126" s="4" t="n"/>
      <c r="F126" s="16" t="n"/>
      <c r="G126" s="4" t="n"/>
      <c r="H126" s="4" t="n"/>
      <c r="I126" s="4" t="n"/>
      <c r="J126" s="4" t="n"/>
    </row>
    <row r="127">
      <c r="A127" s="14">
        <f>IF(F127&lt;&gt;"",ROW()-4,"")</f>
        <v/>
      </c>
      <c r="B127" s="15" t="n"/>
      <c r="C127" s="4" t="n"/>
      <c r="D127" s="4" t="n"/>
      <c r="E127" s="4" t="n"/>
      <c r="F127" s="16" t="n"/>
      <c r="G127" s="4" t="n"/>
      <c r="H127" s="4" t="n"/>
      <c r="I127" s="4" t="n"/>
      <c r="J127" s="4" t="n"/>
    </row>
    <row r="128">
      <c r="A128" s="18">
        <f>IF(F128&lt;&gt;"",ROW()-4,"")</f>
        <v/>
      </c>
      <c r="B128" s="15" t="n"/>
      <c r="C128" s="4" t="n"/>
      <c r="D128" s="4" t="n"/>
      <c r="E128" s="4" t="n"/>
      <c r="F128" s="16" t="n"/>
      <c r="G128" s="4" t="n"/>
      <c r="H128" s="4" t="n"/>
      <c r="I128" s="4" t="n"/>
      <c r="J128" s="4" t="n"/>
    </row>
    <row r="129">
      <c r="A129" s="14">
        <f>IF(F129&lt;&gt;"",ROW()-4,"")</f>
        <v/>
      </c>
      <c r="B129" s="15" t="n"/>
      <c r="C129" s="4" t="n"/>
      <c r="D129" s="4" t="n"/>
      <c r="E129" s="4" t="n"/>
      <c r="F129" s="16" t="n"/>
      <c r="G129" s="4" t="n"/>
      <c r="H129" s="4" t="n"/>
      <c r="I129" s="4" t="n"/>
      <c r="J129" s="4" t="n"/>
    </row>
    <row r="130">
      <c r="A130" s="18">
        <f>IF(F130&lt;&gt;"",ROW()-4,"")</f>
        <v/>
      </c>
      <c r="B130" s="15" t="n"/>
      <c r="C130" s="4" t="n"/>
      <c r="D130" s="4" t="n"/>
      <c r="E130" s="4" t="n"/>
      <c r="F130" s="16" t="n"/>
      <c r="G130" s="4" t="n"/>
      <c r="H130" s="4" t="n"/>
      <c r="I130" s="4" t="n"/>
      <c r="J130" s="4" t="n"/>
    </row>
    <row r="131">
      <c r="A131" s="14">
        <f>IF(F131&lt;&gt;"",ROW()-4,"")</f>
        <v/>
      </c>
      <c r="B131" s="15" t="n"/>
      <c r="C131" s="4" t="n"/>
      <c r="D131" s="4" t="n"/>
      <c r="E131" s="4" t="n"/>
      <c r="F131" s="16" t="n"/>
      <c r="G131" s="4" t="n"/>
      <c r="H131" s="4" t="n"/>
      <c r="I131" s="4" t="n"/>
      <c r="J131" s="4" t="n"/>
    </row>
    <row r="132">
      <c r="A132" s="18">
        <f>IF(F132&lt;&gt;"",ROW()-4,"")</f>
        <v/>
      </c>
      <c r="B132" s="15" t="n"/>
      <c r="C132" s="4" t="n"/>
      <c r="D132" s="4" t="n"/>
      <c r="E132" s="4" t="n"/>
      <c r="F132" s="16" t="n"/>
      <c r="G132" s="4" t="n"/>
      <c r="H132" s="4" t="n"/>
      <c r="I132" s="4" t="n"/>
      <c r="J132" s="4" t="n"/>
    </row>
    <row r="133">
      <c r="A133" s="14">
        <f>IF(F133&lt;&gt;"",ROW()-4,"")</f>
        <v/>
      </c>
      <c r="B133" s="15" t="n"/>
      <c r="C133" s="4" t="n"/>
      <c r="D133" s="4" t="n"/>
      <c r="E133" s="4" t="n"/>
      <c r="F133" s="16" t="n"/>
      <c r="G133" s="4" t="n"/>
      <c r="H133" s="4" t="n"/>
      <c r="I133" s="4" t="n"/>
      <c r="J133" s="4" t="n"/>
    </row>
    <row r="134">
      <c r="A134" s="18">
        <f>IF(F134&lt;&gt;"",ROW()-4,"")</f>
        <v/>
      </c>
      <c r="B134" s="15" t="n"/>
      <c r="C134" s="4" t="n"/>
      <c r="D134" s="4" t="n"/>
      <c r="E134" s="4" t="n"/>
      <c r="F134" s="16" t="n"/>
      <c r="G134" s="4" t="n"/>
      <c r="H134" s="4" t="n"/>
      <c r="I134" s="4" t="n"/>
      <c r="J134" s="4" t="n"/>
    </row>
    <row r="135">
      <c r="A135" s="14">
        <f>IF(F135&lt;&gt;"",ROW()-4,"")</f>
        <v/>
      </c>
      <c r="B135" s="15" t="n"/>
      <c r="C135" s="4" t="n"/>
      <c r="D135" s="4" t="n"/>
      <c r="E135" s="4" t="n"/>
      <c r="F135" s="16" t="n"/>
      <c r="G135" s="4" t="n"/>
      <c r="H135" s="4" t="n"/>
      <c r="I135" s="4" t="n"/>
      <c r="J135" s="4" t="n"/>
    </row>
    <row r="136">
      <c r="A136" s="18">
        <f>IF(F136&lt;&gt;"",ROW()-4,"")</f>
        <v/>
      </c>
      <c r="B136" s="15" t="n"/>
      <c r="C136" s="4" t="n"/>
      <c r="D136" s="4" t="n"/>
      <c r="E136" s="4" t="n"/>
      <c r="F136" s="16" t="n"/>
      <c r="G136" s="4" t="n"/>
      <c r="H136" s="4" t="n"/>
      <c r="I136" s="4" t="n"/>
      <c r="J136" s="4" t="n"/>
    </row>
    <row r="137">
      <c r="A137" s="14">
        <f>IF(F137&lt;&gt;"",ROW()-4,"")</f>
        <v/>
      </c>
      <c r="B137" s="15" t="n"/>
      <c r="C137" s="4" t="n"/>
      <c r="D137" s="4" t="n"/>
      <c r="E137" s="4" t="n"/>
      <c r="F137" s="16" t="n"/>
      <c r="G137" s="4" t="n"/>
      <c r="H137" s="4" t="n"/>
      <c r="I137" s="4" t="n"/>
      <c r="J137" s="4" t="n"/>
    </row>
    <row r="138">
      <c r="A138" s="18">
        <f>IF(F138&lt;&gt;"",ROW()-4,"")</f>
        <v/>
      </c>
      <c r="B138" s="15" t="n"/>
      <c r="C138" s="4" t="n"/>
      <c r="D138" s="4" t="n"/>
      <c r="E138" s="4" t="n"/>
      <c r="F138" s="16" t="n"/>
      <c r="G138" s="4" t="n"/>
      <c r="H138" s="4" t="n"/>
      <c r="I138" s="4" t="n"/>
      <c r="J138" s="4" t="n"/>
    </row>
    <row r="139">
      <c r="A139" s="14">
        <f>IF(F139&lt;&gt;"",ROW()-4,"")</f>
        <v/>
      </c>
      <c r="B139" s="15" t="n"/>
      <c r="C139" s="4" t="n"/>
      <c r="D139" s="4" t="n"/>
      <c r="E139" s="4" t="n"/>
      <c r="F139" s="16" t="n"/>
      <c r="G139" s="4" t="n"/>
      <c r="H139" s="4" t="n"/>
      <c r="I139" s="4" t="n"/>
      <c r="J139" s="4" t="n"/>
    </row>
    <row r="140">
      <c r="A140" s="18">
        <f>IF(F140&lt;&gt;"",ROW()-4,"")</f>
        <v/>
      </c>
      <c r="B140" s="15" t="n"/>
      <c r="C140" s="4" t="n"/>
      <c r="D140" s="4" t="n"/>
      <c r="E140" s="4" t="n"/>
      <c r="F140" s="16" t="n"/>
      <c r="G140" s="4" t="n"/>
      <c r="H140" s="4" t="n"/>
      <c r="I140" s="4" t="n"/>
      <c r="J140" s="4" t="n"/>
    </row>
    <row r="141">
      <c r="A141" s="14">
        <f>IF(F141&lt;&gt;"",ROW()-4,"")</f>
        <v/>
      </c>
      <c r="B141" s="15" t="n"/>
      <c r="C141" s="4" t="n"/>
      <c r="D141" s="4" t="n"/>
      <c r="E141" s="4" t="n"/>
      <c r="F141" s="16" t="n"/>
      <c r="G141" s="4" t="n"/>
      <c r="H141" s="4" t="n"/>
      <c r="I141" s="4" t="n"/>
      <c r="J141" s="4" t="n"/>
    </row>
    <row r="142">
      <c r="A142" s="18">
        <f>IF(F142&lt;&gt;"",ROW()-4,"")</f>
        <v/>
      </c>
      <c r="B142" s="15" t="n"/>
      <c r="C142" s="4" t="n"/>
      <c r="D142" s="4" t="n"/>
      <c r="E142" s="4" t="n"/>
      <c r="F142" s="16" t="n"/>
      <c r="G142" s="4" t="n"/>
      <c r="H142" s="4" t="n"/>
      <c r="I142" s="4" t="n"/>
      <c r="J142" s="4" t="n"/>
    </row>
    <row r="143">
      <c r="A143" s="14">
        <f>IF(F143&lt;&gt;"",ROW()-4,"")</f>
        <v/>
      </c>
      <c r="B143" s="15" t="n"/>
      <c r="C143" s="4" t="n"/>
      <c r="D143" s="4" t="n"/>
      <c r="E143" s="4" t="n"/>
      <c r="F143" s="16" t="n"/>
      <c r="G143" s="4" t="n"/>
      <c r="H143" s="4" t="n"/>
      <c r="I143" s="4" t="n"/>
      <c r="J143" s="4" t="n"/>
    </row>
    <row r="144">
      <c r="A144" s="18">
        <f>IF(F144&lt;&gt;"",ROW()-4,"")</f>
        <v/>
      </c>
      <c r="B144" s="15" t="n"/>
      <c r="C144" s="4" t="n"/>
      <c r="D144" s="4" t="n"/>
      <c r="E144" s="4" t="n"/>
      <c r="F144" s="16" t="n"/>
      <c r="G144" s="4" t="n"/>
      <c r="H144" s="4" t="n"/>
      <c r="I144" s="4" t="n"/>
      <c r="J144" s="4" t="n"/>
    </row>
    <row r="145">
      <c r="A145" s="14">
        <f>IF(F145&lt;&gt;"",ROW()-4,"")</f>
        <v/>
      </c>
      <c r="B145" s="15" t="n"/>
      <c r="C145" s="4" t="n"/>
      <c r="D145" s="4" t="n"/>
      <c r="E145" s="4" t="n"/>
      <c r="F145" s="16" t="n"/>
      <c r="G145" s="4" t="n"/>
      <c r="H145" s="4" t="n"/>
      <c r="I145" s="4" t="n"/>
      <c r="J145" s="4" t="n"/>
    </row>
    <row r="146">
      <c r="A146" s="18">
        <f>IF(F146&lt;&gt;"",ROW()-4,"")</f>
        <v/>
      </c>
      <c r="B146" s="15" t="n"/>
      <c r="C146" s="4" t="n"/>
      <c r="D146" s="4" t="n"/>
      <c r="E146" s="4" t="n"/>
      <c r="F146" s="16" t="n"/>
      <c r="G146" s="4" t="n"/>
      <c r="H146" s="4" t="n"/>
      <c r="I146" s="4" t="n"/>
      <c r="J146" s="4" t="n"/>
    </row>
    <row r="147">
      <c r="A147" s="14">
        <f>IF(F147&lt;&gt;"",ROW()-4,"")</f>
        <v/>
      </c>
      <c r="B147" s="15" t="n"/>
      <c r="C147" s="4" t="n"/>
      <c r="D147" s="4" t="n"/>
      <c r="E147" s="4" t="n"/>
      <c r="F147" s="16" t="n"/>
      <c r="G147" s="4" t="n"/>
      <c r="H147" s="4" t="n"/>
      <c r="I147" s="4" t="n"/>
      <c r="J147" s="4" t="n"/>
    </row>
    <row r="148">
      <c r="A148" s="18">
        <f>IF(F148&lt;&gt;"",ROW()-4,"")</f>
        <v/>
      </c>
      <c r="B148" s="15" t="n"/>
      <c r="C148" s="4" t="n"/>
      <c r="D148" s="4" t="n"/>
      <c r="E148" s="4" t="n"/>
      <c r="F148" s="16" t="n"/>
      <c r="G148" s="4" t="n"/>
      <c r="H148" s="4" t="n"/>
      <c r="I148" s="4" t="n"/>
      <c r="J148" s="4" t="n"/>
    </row>
    <row r="149">
      <c r="A149" s="14">
        <f>IF(F149&lt;&gt;"",ROW()-4,"")</f>
        <v/>
      </c>
      <c r="B149" s="15" t="n"/>
      <c r="C149" s="4" t="n"/>
      <c r="D149" s="4" t="n"/>
      <c r="E149" s="4" t="n"/>
      <c r="F149" s="16" t="n"/>
      <c r="G149" s="4" t="n"/>
      <c r="H149" s="4" t="n"/>
      <c r="I149" s="4" t="n"/>
      <c r="J149" s="4" t="n"/>
    </row>
    <row r="150">
      <c r="A150" s="18">
        <f>IF(F150&lt;&gt;"",ROW()-4,"")</f>
        <v/>
      </c>
      <c r="B150" s="15" t="n"/>
      <c r="C150" s="4" t="n"/>
      <c r="D150" s="4" t="n"/>
      <c r="E150" s="4" t="n"/>
      <c r="F150" s="16" t="n"/>
      <c r="G150" s="4" t="n"/>
      <c r="H150" s="4" t="n"/>
      <c r="I150" s="4" t="n"/>
      <c r="J150" s="4" t="n"/>
    </row>
    <row r="151">
      <c r="A151" s="14">
        <f>IF(F151&lt;&gt;"",ROW()-4,"")</f>
        <v/>
      </c>
      <c r="B151" s="15" t="n"/>
      <c r="C151" s="4" t="n"/>
      <c r="D151" s="4" t="n"/>
      <c r="E151" s="4" t="n"/>
      <c r="F151" s="16" t="n"/>
      <c r="G151" s="4" t="n"/>
      <c r="H151" s="4" t="n"/>
      <c r="I151" s="4" t="n"/>
      <c r="J151" s="4" t="n"/>
    </row>
    <row r="152">
      <c r="A152" s="18">
        <f>IF(F152&lt;&gt;"",ROW()-4,"")</f>
        <v/>
      </c>
      <c r="B152" s="15" t="n"/>
      <c r="C152" s="4" t="n"/>
      <c r="D152" s="4" t="n"/>
      <c r="E152" s="4" t="n"/>
      <c r="F152" s="16" t="n"/>
      <c r="G152" s="4" t="n"/>
      <c r="H152" s="4" t="n"/>
      <c r="I152" s="4" t="n"/>
      <c r="J152" s="4" t="n"/>
    </row>
    <row r="153">
      <c r="A153" s="14">
        <f>IF(F153&lt;&gt;"",ROW()-4,"")</f>
        <v/>
      </c>
      <c r="B153" s="15" t="n"/>
      <c r="C153" s="4" t="n"/>
      <c r="D153" s="4" t="n"/>
      <c r="E153" s="4" t="n"/>
      <c r="F153" s="16" t="n"/>
      <c r="G153" s="4" t="n"/>
      <c r="H153" s="4" t="n"/>
      <c r="I153" s="4" t="n"/>
      <c r="J153" s="4" t="n"/>
    </row>
    <row r="154">
      <c r="A154" s="18">
        <f>IF(F154&lt;&gt;"",ROW()-4,"")</f>
        <v/>
      </c>
      <c r="B154" s="15" t="n"/>
      <c r="C154" s="4" t="n"/>
      <c r="D154" s="4" t="n"/>
      <c r="E154" s="4" t="n"/>
      <c r="F154" s="16" t="n"/>
      <c r="G154" s="4" t="n"/>
      <c r="H154" s="4" t="n"/>
      <c r="I154" s="4" t="n"/>
      <c r="J154" s="4" t="n"/>
    </row>
    <row r="155">
      <c r="A155" s="14">
        <f>IF(F155&lt;&gt;"",ROW()-4,"")</f>
        <v/>
      </c>
      <c r="B155" s="15" t="n"/>
      <c r="C155" s="4" t="n"/>
      <c r="D155" s="4" t="n"/>
      <c r="E155" s="4" t="n"/>
      <c r="F155" s="16" t="n"/>
      <c r="G155" s="4" t="n"/>
      <c r="H155" s="4" t="n"/>
      <c r="I155" s="4" t="n"/>
      <c r="J155" s="4" t="n"/>
    </row>
    <row r="156">
      <c r="A156" s="18">
        <f>IF(F156&lt;&gt;"",ROW()-4,"")</f>
        <v/>
      </c>
      <c r="B156" s="15" t="n"/>
      <c r="C156" s="4" t="n"/>
      <c r="D156" s="4" t="n"/>
      <c r="E156" s="4" t="n"/>
      <c r="F156" s="16" t="n"/>
      <c r="G156" s="4" t="n"/>
      <c r="H156" s="4" t="n"/>
      <c r="I156" s="4" t="n"/>
      <c r="J156" s="4" t="n"/>
    </row>
    <row r="157">
      <c r="A157" s="14">
        <f>IF(F157&lt;&gt;"",ROW()-4,"")</f>
        <v/>
      </c>
      <c r="B157" s="15" t="n"/>
      <c r="C157" s="4" t="n"/>
      <c r="D157" s="4" t="n"/>
      <c r="E157" s="4" t="n"/>
      <c r="F157" s="16" t="n"/>
      <c r="G157" s="4" t="n"/>
      <c r="H157" s="4" t="n"/>
      <c r="I157" s="4" t="n"/>
      <c r="J157" s="4" t="n"/>
    </row>
    <row r="158">
      <c r="A158" s="18">
        <f>IF(F158&lt;&gt;"",ROW()-4,"")</f>
        <v/>
      </c>
      <c r="B158" s="15" t="n"/>
      <c r="C158" s="4" t="n"/>
      <c r="D158" s="4" t="n"/>
      <c r="E158" s="4" t="n"/>
      <c r="F158" s="16" t="n"/>
      <c r="G158" s="4" t="n"/>
      <c r="H158" s="4" t="n"/>
      <c r="I158" s="4" t="n"/>
      <c r="J158" s="4" t="n"/>
    </row>
    <row r="159">
      <c r="A159" s="14">
        <f>IF(F159&lt;&gt;"",ROW()-4,"")</f>
        <v/>
      </c>
      <c r="B159" s="15" t="n"/>
      <c r="C159" s="4" t="n"/>
      <c r="D159" s="4" t="n"/>
      <c r="E159" s="4" t="n"/>
      <c r="F159" s="16" t="n"/>
      <c r="G159" s="4" t="n"/>
      <c r="H159" s="4" t="n"/>
      <c r="I159" s="4" t="n"/>
      <c r="J159" s="4" t="n"/>
    </row>
    <row r="160">
      <c r="A160" s="18">
        <f>IF(F160&lt;&gt;"",ROW()-4,"")</f>
        <v/>
      </c>
      <c r="B160" s="15" t="n"/>
      <c r="C160" s="4" t="n"/>
      <c r="D160" s="4" t="n"/>
      <c r="E160" s="4" t="n"/>
      <c r="F160" s="16" t="n"/>
      <c r="G160" s="4" t="n"/>
      <c r="H160" s="4" t="n"/>
      <c r="I160" s="4" t="n"/>
      <c r="J160" s="4" t="n"/>
    </row>
    <row r="161">
      <c r="A161" s="14">
        <f>IF(F161&lt;&gt;"",ROW()-4,"")</f>
        <v/>
      </c>
      <c r="B161" s="15" t="n"/>
      <c r="C161" s="4" t="n"/>
      <c r="D161" s="4" t="n"/>
      <c r="E161" s="4" t="n"/>
      <c r="F161" s="16" t="n"/>
      <c r="G161" s="4" t="n"/>
      <c r="H161" s="4" t="n"/>
      <c r="I161" s="4" t="n"/>
      <c r="J161" s="4" t="n"/>
    </row>
    <row r="162">
      <c r="A162" s="18">
        <f>IF(F162&lt;&gt;"",ROW()-4,"")</f>
        <v/>
      </c>
      <c r="B162" s="15" t="n"/>
      <c r="C162" s="4" t="n"/>
      <c r="D162" s="4" t="n"/>
      <c r="E162" s="4" t="n"/>
      <c r="F162" s="16" t="n"/>
      <c r="G162" s="4" t="n"/>
      <c r="H162" s="4" t="n"/>
      <c r="I162" s="4" t="n"/>
      <c r="J162" s="4" t="n"/>
    </row>
    <row r="163">
      <c r="A163" s="14">
        <f>IF(F163&lt;&gt;"",ROW()-4,"")</f>
        <v/>
      </c>
      <c r="B163" s="15" t="n"/>
      <c r="C163" s="4" t="n"/>
      <c r="D163" s="4" t="n"/>
      <c r="E163" s="4" t="n"/>
      <c r="F163" s="16" t="n"/>
      <c r="G163" s="4" t="n"/>
      <c r="H163" s="4" t="n"/>
      <c r="I163" s="4" t="n"/>
      <c r="J163" s="4" t="n"/>
    </row>
    <row r="164">
      <c r="A164" s="18">
        <f>IF(F164&lt;&gt;"",ROW()-4,"")</f>
        <v/>
      </c>
      <c r="B164" s="15" t="n"/>
      <c r="C164" s="4" t="n"/>
      <c r="D164" s="4" t="n"/>
      <c r="E164" s="4" t="n"/>
      <c r="F164" s="16" t="n"/>
      <c r="G164" s="4" t="n"/>
      <c r="H164" s="4" t="n"/>
      <c r="I164" s="4" t="n"/>
      <c r="J164" s="4" t="n"/>
    </row>
    <row r="165">
      <c r="A165" s="14">
        <f>IF(F165&lt;&gt;"",ROW()-4,"")</f>
        <v/>
      </c>
      <c r="B165" s="15" t="n"/>
      <c r="C165" s="4" t="n"/>
      <c r="D165" s="4" t="n"/>
      <c r="E165" s="4" t="n"/>
      <c r="F165" s="16" t="n"/>
      <c r="G165" s="4" t="n"/>
      <c r="H165" s="4" t="n"/>
      <c r="I165" s="4" t="n"/>
      <c r="J165" s="4" t="n"/>
    </row>
    <row r="166">
      <c r="A166" s="18">
        <f>IF(F166&lt;&gt;"",ROW()-4,"")</f>
        <v/>
      </c>
      <c r="B166" s="15" t="n"/>
      <c r="C166" s="4" t="n"/>
      <c r="D166" s="4" t="n"/>
      <c r="E166" s="4" t="n"/>
      <c r="F166" s="16" t="n"/>
      <c r="G166" s="4" t="n"/>
      <c r="H166" s="4" t="n"/>
      <c r="I166" s="4" t="n"/>
      <c r="J166" s="4" t="n"/>
    </row>
    <row r="167">
      <c r="A167" s="14">
        <f>IF(F167&lt;&gt;"",ROW()-4,"")</f>
        <v/>
      </c>
      <c r="B167" s="15" t="n"/>
      <c r="C167" s="4" t="n"/>
      <c r="D167" s="4" t="n"/>
      <c r="E167" s="4" t="n"/>
      <c r="F167" s="16" t="n"/>
      <c r="G167" s="4" t="n"/>
      <c r="H167" s="4" t="n"/>
      <c r="I167" s="4" t="n"/>
      <c r="J167" s="4" t="n"/>
    </row>
    <row r="168">
      <c r="A168" s="18">
        <f>IF(F168&lt;&gt;"",ROW()-4,"")</f>
        <v/>
      </c>
      <c r="B168" s="15" t="n"/>
      <c r="C168" s="4" t="n"/>
      <c r="D168" s="4" t="n"/>
      <c r="E168" s="4" t="n"/>
      <c r="F168" s="16" t="n"/>
      <c r="G168" s="4" t="n"/>
      <c r="H168" s="4" t="n"/>
      <c r="I168" s="4" t="n"/>
      <c r="J168" s="4" t="n"/>
    </row>
    <row r="169">
      <c r="A169" s="14">
        <f>IF(F169&lt;&gt;"",ROW()-4,"")</f>
        <v/>
      </c>
      <c r="B169" s="15" t="n"/>
      <c r="C169" s="4" t="n"/>
      <c r="D169" s="4" t="n"/>
      <c r="E169" s="4" t="n"/>
      <c r="F169" s="16" t="n"/>
      <c r="G169" s="4" t="n"/>
      <c r="H169" s="4" t="n"/>
      <c r="I169" s="4" t="n"/>
      <c r="J169" s="4" t="n"/>
    </row>
    <row r="170">
      <c r="A170" s="18">
        <f>IF(F170&lt;&gt;"",ROW()-4,"")</f>
        <v/>
      </c>
      <c r="B170" s="15" t="n"/>
      <c r="C170" s="4" t="n"/>
      <c r="D170" s="4" t="n"/>
      <c r="E170" s="4" t="n"/>
      <c r="F170" s="16" t="n"/>
      <c r="G170" s="4" t="n"/>
      <c r="H170" s="4" t="n"/>
      <c r="I170" s="4" t="n"/>
      <c r="J170" s="4" t="n"/>
    </row>
    <row r="171">
      <c r="A171" s="14">
        <f>IF(F171&lt;&gt;"",ROW()-4,"")</f>
        <v/>
      </c>
      <c r="B171" s="15" t="n"/>
      <c r="C171" s="4" t="n"/>
      <c r="D171" s="4" t="n"/>
      <c r="E171" s="4" t="n"/>
      <c r="F171" s="16" t="n"/>
      <c r="G171" s="4" t="n"/>
      <c r="H171" s="4" t="n"/>
      <c r="I171" s="4" t="n"/>
      <c r="J171" s="4" t="n"/>
    </row>
    <row r="172">
      <c r="A172" s="18">
        <f>IF(F172&lt;&gt;"",ROW()-4,"")</f>
        <v/>
      </c>
      <c r="B172" s="15" t="n"/>
      <c r="C172" s="4" t="n"/>
      <c r="D172" s="4" t="n"/>
      <c r="E172" s="4" t="n"/>
      <c r="F172" s="16" t="n"/>
      <c r="G172" s="4" t="n"/>
      <c r="H172" s="4" t="n"/>
      <c r="I172" s="4" t="n"/>
      <c r="J172" s="4" t="n"/>
    </row>
    <row r="173">
      <c r="A173" s="14">
        <f>IF(F173&lt;&gt;"",ROW()-4,"")</f>
        <v/>
      </c>
      <c r="B173" s="15" t="n"/>
      <c r="C173" s="4" t="n"/>
      <c r="D173" s="4" t="n"/>
      <c r="E173" s="4" t="n"/>
      <c r="F173" s="16" t="n"/>
      <c r="G173" s="4" t="n"/>
      <c r="H173" s="4" t="n"/>
      <c r="I173" s="4" t="n"/>
      <c r="J173" s="4" t="n"/>
    </row>
    <row r="174">
      <c r="A174" s="18">
        <f>IF(F174&lt;&gt;"",ROW()-4,"")</f>
        <v/>
      </c>
      <c r="B174" s="15" t="n"/>
      <c r="C174" s="4" t="n"/>
      <c r="D174" s="4" t="n"/>
      <c r="E174" s="4" t="n"/>
      <c r="F174" s="16" t="n"/>
      <c r="G174" s="4" t="n"/>
      <c r="H174" s="4" t="n"/>
      <c r="I174" s="4" t="n"/>
      <c r="J174" s="4" t="n"/>
    </row>
    <row r="175">
      <c r="A175" s="14">
        <f>IF(F175&lt;&gt;"",ROW()-4,"")</f>
        <v/>
      </c>
      <c r="B175" s="15" t="n"/>
      <c r="C175" s="4" t="n"/>
      <c r="D175" s="4" t="n"/>
      <c r="E175" s="4" t="n"/>
      <c r="F175" s="16" t="n"/>
      <c r="G175" s="4" t="n"/>
      <c r="H175" s="4" t="n"/>
      <c r="I175" s="4" t="n"/>
      <c r="J175" s="4" t="n"/>
    </row>
    <row r="176">
      <c r="A176" s="18">
        <f>IF(F176&lt;&gt;"",ROW()-4,"")</f>
        <v/>
      </c>
      <c r="B176" s="15" t="n"/>
      <c r="C176" s="4" t="n"/>
      <c r="D176" s="4" t="n"/>
      <c r="E176" s="4" t="n"/>
      <c r="F176" s="16" t="n"/>
      <c r="G176" s="4" t="n"/>
      <c r="H176" s="4" t="n"/>
      <c r="I176" s="4" t="n"/>
      <c r="J176" s="4" t="n"/>
    </row>
    <row r="177">
      <c r="A177" s="14">
        <f>IF(F177&lt;&gt;"",ROW()-4,"")</f>
        <v/>
      </c>
      <c r="B177" s="15" t="n"/>
      <c r="C177" s="4" t="n"/>
      <c r="D177" s="4" t="n"/>
      <c r="E177" s="4" t="n"/>
      <c r="F177" s="16" t="n"/>
      <c r="G177" s="4" t="n"/>
      <c r="H177" s="4" t="n"/>
      <c r="I177" s="4" t="n"/>
      <c r="J177" s="4" t="n"/>
    </row>
    <row r="178">
      <c r="A178" s="18">
        <f>IF(F178&lt;&gt;"",ROW()-4,"")</f>
        <v/>
      </c>
      <c r="B178" s="15" t="n"/>
      <c r="C178" s="4" t="n"/>
      <c r="D178" s="4" t="n"/>
      <c r="E178" s="4" t="n"/>
      <c r="F178" s="16" t="n"/>
      <c r="G178" s="4" t="n"/>
      <c r="H178" s="4" t="n"/>
      <c r="I178" s="4" t="n"/>
      <c r="J178" s="4" t="n"/>
    </row>
    <row r="179">
      <c r="A179" s="14">
        <f>IF(F179&lt;&gt;"",ROW()-4,"")</f>
        <v/>
      </c>
      <c r="B179" s="15" t="n"/>
      <c r="C179" s="4" t="n"/>
      <c r="D179" s="4" t="n"/>
      <c r="E179" s="4" t="n"/>
      <c r="F179" s="16" t="n"/>
      <c r="G179" s="4" t="n"/>
      <c r="H179" s="4" t="n"/>
      <c r="I179" s="4" t="n"/>
      <c r="J179" s="4" t="n"/>
    </row>
    <row r="180">
      <c r="A180" s="18">
        <f>IF(F180&lt;&gt;"",ROW()-4,"")</f>
        <v/>
      </c>
      <c r="B180" s="15" t="n"/>
      <c r="C180" s="4" t="n"/>
      <c r="D180" s="4" t="n"/>
      <c r="E180" s="4" t="n"/>
      <c r="F180" s="16" t="n"/>
      <c r="G180" s="4" t="n"/>
      <c r="H180" s="4" t="n"/>
      <c r="I180" s="4" t="n"/>
      <c r="J180" s="4" t="n"/>
    </row>
    <row r="181">
      <c r="A181" s="14">
        <f>IF(F181&lt;&gt;"",ROW()-4,"")</f>
        <v/>
      </c>
      <c r="B181" s="15" t="n"/>
      <c r="C181" s="4" t="n"/>
      <c r="D181" s="4" t="n"/>
      <c r="E181" s="4" t="n"/>
      <c r="F181" s="16" t="n"/>
      <c r="G181" s="4" t="n"/>
      <c r="H181" s="4" t="n"/>
      <c r="I181" s="4" t="n"/>
      <c r="J181" s="4" t="n"/>
    </row>
    <row r="182">
      <c r="A182" s="18">
        <f>IF(F182&lt;&gt;"",ROW()-4,"")</f>
        <v/>
      </c>
      <c r="B182" s="15" t="n"/>
      <c r="C182" s="4" t="n"/>
      <c r="D182" s="4" t="n"/>
      <c r="E182" s="4" t="n"/>
      <c r="F182" s="16" t="n"/>
      <c r="G182" s="4" t="n"/>
      <c r="H182" s="4" t="n"/>
      <c r="I182" s="4" t="n"/>
      <c r="J182" s="4" t="n"/>
    </row>
    <row r="183">
      <c r="A183" s="14">
        <f>IF(F183&lt;&gt;"",ROW()-4,"")</f>
        <v/>
      </c>
      <c r="B183" s="15" t="n"/>
      <c r="C183" s="4" t="n"/>
      <c r="D183" s="4" t="n"/>
      <c r="E183" s="4" t="n"/>
      <c r="F183" s="16" t="n"/>
      <c r="G183" s="4" t="n"/>
      <c r="H183" s="4" t="n"/>
      <c r="I183" s="4" t="n"/>
      <c r="J183" s="4" t="n"/>
    </row>
    <row r="184">
      <c r="A184" s="18">
        <f>IF(F184&lt;&gt;"",ROW()-4,"")</f>
        <v/>
      </c>
      <c r="B184" s="15" t="n"/>
      <c r="C184" s="4" t="n"/>
      <c r="D184" s="4" t="n"/>
      <c r="E184" s="4" t="n"/>
      <c r="F184" s="16" t="n"/>
      <c r="G184" s="4" t="n"/>
      <c r="H184" s="4" t="n"/>
      <c r="I184" s="4" t="n"/>
      <c r="J184" s="4" t="n"/>
    </row>
    <row r="185">
      <c r="A185" s="14">
        <f>IF(F185&lt;&gt;"",ROW()-4,"")</f>
        <v/>
      </c>
      <c r="B185" s="15" t="n"/>
      <c r="C185" s="4" t="n"/>
      <c r="D185" s="4" t="n"/>
      <c r="E185" s="4" t="n"/>
      <c r="F185" s="16" t="n"/>
      <c r="G185" s="4" t="n"/>
      <c r="H185" s="4" t="n"/>
      <c r="I185" s="4" t="n"/>
      <c r="J185" s="4" t="n"/>
    </row>
    <row r="186">
      <c r="A186" s="18">
        <f>IF(F186&lt;&gt;"",ROW()-4,"")</f>
        <v/>
      </c>
      <c r="B186" s="15" t="n"/>
      <c r="C186" s="4" t="n"/>
      <c r="D186" s="4" t="n"/>
      <c r="E186" s="4" t="n"/>
      <c r="F186" s="16" t="n"/>
      <c r="G186" s="4" t="n"/>
      <c r="H186" s="4" t="n"/>
      <c r="I186" s="4" t="n"/>
      <c r="J186" s="4" t="n"/>
    </row>
    <row r="187">
      <c r="A187" s="14">
        <f>IF(F187&lt;&gt;"",ROW()-4,"")</f>
        <v/>
      </c>
      <c r="B187" s="15" t="n"/>
      <c r="C187" s="4" t="n"/>
      <c r="D187" s="4" t="n"/>
      <c r="E187" s="4" t="n"/>
      <c r="F187" s="16" t="n"/>
      <c r="G187" s="4" t="n"/>
      <c r="H187" s="4" t="n"/>
      <c r="I187" s="4" t="n"/>
      <c r="J187" s="4" t="n"/>
    </row>
    <row r="188">
      <c r="A188" s="18">
        <f>IF(F188&lt;&gt;"",ROW()-4,"")</f>
        <v/>
      </c>
      <c r="B188" s="15" t="n"/>
      <c r="C188" s="4" t="n"/>
      <c r="D188" s="4" t="n"/>
      <c r="E188" s="4" t="n"/>
      <c r="F188" s="16" t="n"/>
      <c r="G188" s="4" t="n"/>
      <c r="H188" s="4" t="n"/>
      <c r="I188" s="4" t="n"/>
      <c r="J188" s="4" t="n"/>
    </row>
    <row r="189">
      <c r="A189" s="14">
        <f>IF(F189&lt;&gt;"",ROW()-4,"")</f>
        <v/>
      </c>
      <c r="B189" s="15" t="n"/>
      <c r="C189" s="4" t="n"/>
      <c r="D189" s="4" t="n"/>
      <c r="E189" s="4" t="n"/>
      <c r="F189" s="16" t="n"/>
      <c r="G189" s="4" t="n"/>
      <c r="H189" s="4" t="n"/>
      <c r="I189" s="4" t="n"/>
      <c r="J189" s="4" t="n"/>
    </row>
    <row r="190">
      <c r="A190" s="18">
        <f>IF(F190&lt;&gt;"",ROW()-4,"")</f>
        <v/>
      </c>
      <c r="B190" s="15" t="n"/>
      <c r="C190" s="4" t="n"/>
      <c r="D190" s="4" t="n"/>
      <c r="E190" s="4" t="n"/>
      <c r="F190" s="16" t="n"/>
      <c r="G190" s="4" t="n"/>
      <c r="H190" s="4" t="n"/>
      <c r="I190" s="4" t="n"/>
      <c r="J190" s="4" t="n"/>
    </row>
    <row r="191">
      <c r="A191" s="14">
        <f>IF(F191&lt;&gt;"",ROW()-4,"")</f>
        <v/>
      </c>
      <c r="B191" s="15" t="n"/>
      <c r="C191" s="4" t="n"/>
      <c r="D191" s="4" t="n"/>
      <c r="E191" s="4" t="n"/>
      <c r="F191" s="16" t="n"/>
      <c r="G191" s="4" t="n"/>
      <c r="H191" s="4" t="n"/>
      <c r="I191" s="4" t="n"/>
      <c r="J191" s="4" t="n"/>
    </row>
    <row r="192">
      <c r="A192" s="18">
        <f>IF(F192&lt;&gt;"",ROW()-4,"")</f>
        <v/>
      </c>
      <c r="B192" s="15" t="n"/>
      <c r="C192" s="4" t="n"/>
      <c r="D192" s="4" t="n"/>
      <c r="E192" s="4" t="n"/>
      <c r="F192" s="16" t="n"/>
      <c r="G192" s="4" t="n"/>
      <c r="H192" s="4" t="n"/>
      <c r="I192" s="4" t="n"/>
      <c r="J192" s="4" t="n"/>
    </row>
    <row r="193">
      <c r="A193" s="14">
        <f>IF(F193&lt;&gt;"",ROW()-4,"")</f>
        <v/>
      </c>
      <c r="B193" s="15" t="n"/>
      <c r="C193" s="4" t="n"/>
      <c r="D193" s="4" t="n"/>
      <c r="E193" s="4" t="n"/>
      <c r="F193" s="16" t="n"/>
      <c r="G193" s="4" t="n"/>
      <c r="H193" s="4" t="n"/>
      <c r="I193" s="4" t="n"/>
      <c r="J193" s="4" t="n"/>
    </row>
    <row r="194">
      <c r="A194" s="18">
        <f>IF(F194&lt;&gt;"",ROW()-4,"")</f>
        <v/>
      </c>
      <c r="B194" s="15" t="n"/>
      <c r="C194" s="4" t="n"/>
      <c r="D194" s="4" t="n"/>
      <c r="E194" s="4" t="n"/>
      <c r="F194" s="16" t="n"/>
      <c r="G194" s="4" t="n"/>
      <c r="H194" s="4" t="n"/>
      <c r="I194" s="4" t="n"/>
      <c r="J194" s="4" t="n"/>
    </row>
    <row r="195">
      <c r="A195" s="14">
        <f>IF(F195&lt;&gt;"",ROW()-4,"")</f>
        <v/>
      </c>
      <c r="B195" s="15" t="n"/>
      <c r="C195" s="4" t="n"/>
      <c r="D195" s="4" t="n"/>
      <c r="E195" s="4" t="n"/>
      <c r="F195" s="16" t="n"/>
      <c r="G195" s="4" t="n"/>
      <c r="H195" s="4" t="n"/>
      <c r="I195" s="4" t="n"/>
      <c r="J195" s="4" t="n"/>
    </row>
    <row r="196">
      <c r="A196" s="18">
        <f>IF(F196&lt;&gt;"",ROW()-4,"")</f>
        <v/>
      </c>
      <c r="B196" s="15" t="n"/>
      <c r="C196" s="4" t="n"/>
      <c r="D196" s="4" t="n"/>
      <c r="E196" s="4" t="n"/>
      <c r="F196" s="16" t="n"/>
      <c r="G196" s="4" t="n"/>
      <c r="H196" s="4" t="n"/>
      <c r="I196" s="4" t="n"/>
      <c r="J196" s="4" t="n"/>
    </row>
    <row r="197">
      <c r="A197" s="14">
        <f>IF(F197&lt;&gt;"",ROW()-4,"")</f>
        <v/>
      </c>
      <c r="B197" s="15" t="n"/>
      <c r="C197" s="4" t="n"/>
      <c r="D197" s="4" t="n"/>
      <c r="E197" s="4" t="n"/>
      <c r="F197" s="16" t="n"/>
      <c r="G197" s="4" t="n"/>
      <c r="H197" s="4" t="n"/>
      <c r="I197" s="4" t="n"/>
      <c r="J197" s="4" t="n"/>
    </row>
    <row r="198">
      <c r="A198" s="18">
        <f>IF(F198&lt;&gt;"",ROW()-4,"")</f>
        <v/>
      </c>
      <c r="B198" s="15" t="n"/>
      <c r="C198" s="4" t="n"/>
      <c r="D198" s="4" t="n"/>
      <c r="E198" s="4" t="n"/>
      <c r="F198" s="16" t="n"/>
      <c r="G198" s="4" t="n"/>
      <c r="H198" s="4" t="n"/>
      <c r="I198" s="4" t="n"/>
      <c r="J198" s="4" t="n"/>
    </row>
    <row r="199">
      <c r="A199" s="14">
        <f>IF(F199&lt;&gt;"",ROW()-4,"")</f>
        <v/>
      </c>
      <c r="B199" s="15" t="n"/>
      <c r="C199" s="4" t="n"/>
      <c r="D199" s="4" t="n"/>
      <c r="E199" s="4" t="n"/>
      <c r="F199" s="16" t="n"/>
      <c r="G199" s="4" t="n"/>
      <c r="H199" s="4" t="n"/>
      <c r="I199" s="4" t="n"/>
      <c r="J199" s="4" t="n"/>
    </row>
    <row r="200">
      <c r="A200" s="18">
        <f>IF(F200&lt;&gt;"",ROW()-4,"")</f>
        <v/>
      </c>
      <c r="B200" s="15" t="n"/>
      <c r="C200" s="4" t="n"/>
      <c r="D200" s="4" t="n"/>
      <c r="E200" s="4" t="n"/>
      <c r="F200" s="16" t="n"/>
      <c r="G200" s="4" t="n"/>
      <c r="H200" s="4" t="n"/>
      <c r="I200" s="4" t="n"/>
      <c r="J200" s="4" t="n"/>
    </row>
    <row r="201">
      <c r="A201" s="14">
        <f>IF(F201&lt;&gt;"",ROW()-4,"")</f>
        <v/>
      </c>
      <c r="B201" s="15" t="n"/>
      <c r="C201" s="4" t="n"/>
      <c r="D201" s="4" t="n"/>
      <c r="E201" s="4" t="n"/>
      <c r="F201" s="16" t="n"/>
      <c r="G201" s="4" t="n"/>
      <c r="H201" s="4" t="n"/>
      <c r="I201" s="4" t="n"/>
      <c r="J201" s="4" t="n"/>
    </row>
    <row r="202">
      <c r="A202" s="18">
        <f>IF(F202&lt;&gt;"",ROW()-4,"")</f>
        <v/>
      </c>
      <c r="B202" s="15" t="n"/>
      <c r="C202" s="4" t="n"/>
      <c r="D202" s="4" t="n"/>
      <c r="E202" s="4" t="n"/>
      <c r="F202" s="16" t="n"/>
      <c r="G202" s="4" t="n"/>
      <c r="H202" s="4" t="n"/>
      <c r="I202" s="4" t="n"/>
      <c r="J202" s="4" t="n"/>
    </row>
    <row r="203">
      <c r="A203" s="14">
        <f>IF(F203&lt;&gt;"",ROW()-4,"")</f>
        <v/>
      </c>
      <c r="B203" s="15" t="n"/>
      <c r="C203" s="4" t="n"/>
      <c r="D203" s="4" t="n"/>
      <c r="E203" s="4" t="n"/>
      <c r="F203" s="16" t="n"/>
      <c r="G203" s="4" t="n"/>
      <c r="H203" s="4" t="n"/>
      <c r="I203" s="4" t="n"/>
      <c r="J203" s="4" t="n"/>
    </row>
    <row r="204">
      <c r="A204" s="18">
        <f>IF(F204&lt;&gt;"",ROW()-4,"")</f>
        <v/>
      </c>
      <c r="B204" s="15" t="n"/>
      <c r="C204" s="4" t="n"/>
      <c r="D204" s="4" t="n"/>
      <c r="E204" s="4" t="n"/>
      <c r="F204" s="16" t="n"/>
      <c r="G204" s="4" t="n"/>
      <c r="H204" s="4" t="n"/>
      <c r="I204" s="4" t="n"/>
      <c r="J204" s="4" t="n"/>
    </row>
    <row r="205">
      <c r="A205" s="14">
        <f>IF(F205&lt;&gt;"",ROW()-4,"")</f>
        <v/>
      </c>
      <c r="B205" s="15" t="n"/>
      <c r="C205" s="4" t="n"/>
      <c r="D205" s="4" t="n"/>
      <c r="E205" s="4" t="n"/>
      <c r="F205" s="16" t="n"/>
      <c r="G205" s="4" t="n"/>
      <c r="H205" s="4" t="n"/>
      <c r="I205" s="4" t="n"/>
      <c r="J205" s="4" t="n"/>
    </row>
    <row r="206">
      <c r="A206" s="18">
        <f>IF(F206&lt;&gt;"",ROW()-4,"")</f>
        <v/>
      </c>
      <c r="B206" s="15" t="n"/>
      <c r="C206" s="4" t="n"/>
      <c r="D206" s="4" t="n"/>
      <c r="E206" s="4" t="n"/>
      <c r="F206" s="16" t="n"/>
      <c r="G206" s="4" t="n"/>
      <c r="H206" s="4" t="n"/>
      <c r="I206" s="4" t="n"/>
      <c r="J206" s="4" t="n"/>
    </row>
    <row r="207">
      <c r="A207" s="14">
        <f>IF(F207&lt;&gt;"",ROW()-4,"")</f>
        <v/>
      </c>
      <c r="B207" s="15" t="n"/>
      <c r="C207" s="4" t="n"/>
      <c r="D207" s="4" t="n"/>
      <c r="E207" s="4" t="n"/>
      <c r="F207" s="16" t="n"/>
      <c r="G207" s="4" t="n"/>
      <c r="H207" s="4" t="n"/>
      <c r="I207" s="4" t="n"/>
      <c r="J207" s="4" t="n"/>
    </row>
    <row r="208">
      <c r="A208" s="18">
        <f>IF(F208&lt;&gt;"",ROW()-4,"")</f>
        <v/>
      </c>
      <c r="B208" s="15" t="n"/>
      <c r="C208" s="4" t="n"/>
      <c r="D208" s="4" t="n"/>
      <c r="E208" s="4" t="n"/>
      <c r="F208" s="16" t="n"/>
      <c r="G208" s="4" t="n"/>
      <c r="H208" s="4" t="n"/>
      <c r="I208" s="4" t="n"/>
      <c r="J208" s="4" t="n"/>
    </row>
    <row r="209">
      <c r="A209" s="14">
        <f>IF(F209&lt;&gt;"",ROW()-4,"")</f>
        <v/>
      </c>
      <c r="B209" s="15" t="n"/>
      <c r="C209" s="4" t="n"/>
      <c r="D209" s="4" t="n"/>
      <c r="E209" s="4" t="n"/>
      <c r="F209" s="16" t="n"/>
      <c r="G209" s="4" t="n"/>
      <c r="H209" s="4" t="n"/>
      <c r="I209" s="4" t="n"/>
      <c r="J209" s="4" t="n"/>
    </row>
    <row r="210">
      <c r="A210" s="18">
        <f>IF(F210&lt;&gt;"",ROW()-4,"")</f>
        <v/>
      </c>
      <c r="B210" s="15" t="n"/>
      <c r="C210" s="4" t="n"/>
      <c r="D210" s="4" t="n"/>
      <c r="E210" s="4" t="n"/>
      <c r="F210" s="16" t="n"/>
      <c r="G210" s="4" t="n"/>
      <c r="H210" s="4" t="n"/>
      <c r="I210" s="4" t="n"/>
      <c r="J210" s="4" t="n"/>
    </row>
    <row r="211">
      <c r="A211" s="14">
        <f>IF(F211&lt;&gt;"",ROW()-4,"")</f>
        <v/>
      </c>
      <c r="B211" s="15" t="n"/>
      <c r="C211" s="4" t="n"/>
      <c r="D211" s="4" t="n"/>
      <c r="E211" s="4" t="n"/>
      <c r="F211" s="16" t="n"/>
      <c r="G211" s="4" t="n"/>
      <c r="H211" s="4" t="n"/>
      <c r="I211" s="4" t="n"/>
      <c r="J211" s="4" t="n"/>
    </row>
    <row r="212">
      <c r="A212" s="18">
        <f>IF(F212&lt;&gt;"",ROW()-4,"")</f>
        <v/>
      </c>
      <c r="B212" s="15" t="n"/>
      <c r="C212" s="4" t="n"/>
      <c r="D212" s="4" t="n"/>
      <c r="E212" s="4" t="n"/>
      <c r="F212" s="16" t="n"/>
      <c r="G212" s="4" t="n"/>
      <c r="H212" s="4" t="n"/>
      <c r="I212" s="4" t="n"/>
      <c r="J212" s="4" t="n"/>
    </row>
    <row r="213">
      <c r="A213" s="14">
        <f>IF(F213&lt;&gt;"",ROW()-4,"")</f>
        <v/>
      </c>
      <c r="B213" s="15" t="n"/>
      <c r="C213" s="4" t="n"/>
      <c r="D213" s="4" t="n"/>
      <c r="E213" s="4" t="n"/>
      <c r="F213" s="16" t="n"/>
      <c r="G213" s="4" t="n"/>
      <c r="H213" s="4" t="n"/>
      <c r="I213" s="4" t="n"/>
      <c r="J213" s="4" t="n"/>
    </row>
    <row r="214">
      <c r="A214" s="18">
        <f>IF(F214&lt;&gt;"",ROW()-4,"")</f>
        <v/>
      </c>
      <c r="B214" s="15" t="n"/>
      <c r="C214" s="4" t="n"/>
      <c r="D214" s="4" t="n"/>
      <c r="E214" s="4" t="n"/>
      <c r="F214" s="16" t="n"/>
      <c r="G214" s="4" t="n"/>
      <c r="H214" s="4" t="n"/>
      <c r="I214" s="4" t="n"/>
      <c r="J214" s="4" t="n"/>
    </row>
    <row r="215">
      <c r="A215" s="14">
        <f>IF(F215&lt;&gt;"",ROW()-4,"")</f>
        <v/>
      </c>
      <c r="B215" s="15" t="n"/>
      <c r="C215" s="4" t="n"/>
      <c r="D215" s="4" t="n"/>
      <c r="E215" s="4" t="n"/>
      <c r="F215" s="16" t="n"/>
      <c r="G215" s="4" t="n"/>
      <c r="H215" s="4" t="n"/>
      <c r="I215" s="4" t="n"/>
      <c r="J215" s="4" t="n"/>
    </row>
    <row r="216">
      <c r="A216" s="18">
        <f>IF(F216&lt;&gt;"",ROW()-4,"")</f>
        <v/>
      </c>
      <c r="B216" s="15" t="n"/>
      <c r="C216" s="4" t="n"/>
      <c r="D216" s="4" t="n"/>
      <c r="E216" s="4" t="n"/>
      <c r="F216" s="16" t="n"/>
      <c r="G216" s="4" t="n"/>
      <c r="H216" s="4" t="n"/>
      <c r="I216" s="4" t="n"/>
      <c r="J216" s="4" t="n"/>
    </row>
    <row r="217">
      <c r="A217" s="14">
        <f>IF(F217&lt;&gt;"",ROW()-4,"")</f>
        <v/>
      </c>
      <c r="B217" s="15" t="n"/>
      <c r="C217" s="4" t="n"/>
      <c r="D217" s="4" t="n"/>
      <c r="E217" s="4" t="n"/>
      <c r="F217" s="16" t="n"/>
      <c r="G217" s="4" t="n"/>
      <c r="H217" s="4" t="n"/>
      <c r="I217" s="4" t="n"/>
      <c r="J217" s="4" t="n"/>
    </row>
    <row r="218">
      <c r="A218" s="18">
        <f>IF(F218&lt;&gt;"",ROW()-4,"")</f>
        <v/>
      </c>
      <c r="B218" s="15" t="n"/>
      <c r="C218" s="4" t="n"/>
      <c r="D218" s="4" t="n"/>
      <c r="E218" s="4" t="n"/>
      <c r="F218" s="16" t="n"/>
      <c r="G218" s="4" t="n"/>
      <c r="H218" s="4" t="n"/>
      <c r="I218" s="4" t="n"/>
      <c r="J218" s="4" t="n"/>
    </row>
    <row r="219">
      <c r="A219" s="14">
        <f>IF(F219&lt;&gt;"",ROW()-4,"")</f>
        <v/>
      </c>
      <c r="B219" s="15" t="n"/>
      <c r="C219" s="4" t="n"/>
      <c r="D219" s="4" t="n"/>
      <c r="E219" s="4" t="n"/>
      <c r="F219" s="16" t="n"/>
      <c r="G219" s="4" t="n"/>
      <c r="H219" s="4" t="n"/>
      <c r="I219" s="4" t="n"/>
      <c r="J219" s="4" t="n"/>
    </row>
    <row r="220">
      <c r="A220" s="18">
        <f>IF(F220&lt;&gt;"",ROW()-4,"")</f>
        <v/>
      </c>
      <c r="B220" s="15" t="n"/>
      <c r="C220" s="4" t="n"/>
      <c r="D220" s="4" t="n"/>
      <c r="E220" s="4" t="n"/>
      <c r="F220" s="16" t="n"/>
      <c r="G220" s="4" t="n"/>
      <c r="H220" s="4" t="n"/>
      <c r="I220" s="4" t="n"/>
      <c r="J220" s="4" t="n"/>
    </row>
    <row r="221">
      <c r="A221" s="14">
        <f>IF(F221&lt;&gt;"",ROW()-4,"")</f>
        <v/>
      </c>
      <c r="B221" s="15" t="n"/>
      <c r="C221" s="4" t="n"/>
      <c r="D221" s="4" t="n"/>
      <c r="E221" s="4" t="n"/>
      <c r="F221" s="16" t="n"/>
      <c r="G221" s="4" t="n"/>
      <c r="H221" s="4" t="n"/>
      <c r="I221" s="4" t="n"/>
      <c r="J221" s="4" t="n"/>
    </row>
    <row r="222">
      <c r="A222" s="18">
        <f>IF(F222&lt;&gt;"",ROW()-4,"")</f>
        <v/>
      </c>
      <c r="B222" s="15" t="n"/>
      <c r="C222" s="4" t="n"/>
      <c r="D222" s="4" t="n"/>
      <c r="E222" s="4" t="n"/>
      <c r="F222" s="16" t="n"/>
      <c r="G222" s="4" t="n"/>
      <c r="H222" s="4" t="n"/>
      <c r="I222" s="4" t="n"/>
      <c r="J222" s="4" t="n"/>
    </row>
    <row r="223">
      <c r="A223" s="14">
        <f>IF(F223&lt;&gt;"",ROW()-4,"")</f>
        <v/>
      </c>
      <c r="B223" s="15" t="n"/>
      <c r="C223" s="4" t="n"/>
      <c r="D223" s="4" t="n"/>
      <c r="E223" s="4" t="n"/>
      <c r="F223" s="16" t="n"/>
      <c r="G223" s="4" t="n"/>
      <c r="H223" s="4" t="n"/>
      <c r="I223" s="4" t="n"/>
      <c r="J223" s="4" t="n"/>
    </row>
    <row r="224">
      <c r="A224" s="18">
        <f>IF(F224&lt;&gt;"",ROW()-4,"")</f>
        <v/>
      </c>
      <c r="B224" s="15" t="n"/>
      <c r="C224" s="4" t="n"/>
      <c r="D224" s="4" t="n"/>
      <c r="E224" s="4" t="n"/>
      <c r="F224" s="16" t="n"/>
      <c r="G224" s="4" t="n"/>
      <c r="H224" s="4" t="n"/>
      <c r="I224" s="4" t="n"/>
      <c r="J224" s="4" t="n"/>
    </row>
    <row r="225">
      <c r="A225" s="14">
        <f>IF(F225&lt;&gt;"",ROW()-4,"")</f>
        <v/>
      </c>
      <c r="B225" s="15" t="n"/>
      <c r="C225" s="4" t="n"/>
      <c r="D225" s="4" t="n"/>
      <c r="E225" s="4" t="n"/>
      <c r="F225" s="16" t="n"/>
      <c r="G225" s="4" t="n"/>
      <c r="H225" s="4" t="n"/>
      <c r="I225" s="4" t="n"/>
      <c r="J225" s="4" t="n"/>
    </row>
    <row r="226">
      <c r="A226" s="18">
        <f>IF(F226&lt;&gt;"",ROW()-4,"")</f>
        <v/>
      </c>
      <c r="B226" s="15" t="n"/>
      <c r="C226" s="4" t="n"/>
      <c r="D226" s="4" t="n"/>
      <c r="E226" s="4" t="n"/>
      <c r="F226" s="16" t="n"/>
      <c r="G226" s="4" t="n"/>
      <c r="H226" s="4" t="n"/>
      <c r="I226" s="4" t="n"/>
      <c r="J226" s="4" t="n"/>
    </row>
    <row r="227">
      <c r="A227" s="14">
        <f>IF(F227&lt;&gt;"",ROW()-4,"")</f>
        <v/>
      </c>
      <c r="B227" s="15" t="n"/>
      <c r="C227" s="4" t="n"/>
      <c r="D227" s="4" t="n"/>
      <c r="E227" s="4" t="n"/>
      <c r="F227" s="16" t="n"/>
      <c r="G227" s="4" t="n"/>
      <c r="H227" s="4" t="n"/>
      <c r="I227" s="4" t="n"/>
      <c r="J227" s="4" t="n"/>
    </row>
    <row r="228">
      <c r="A228" s="18">
        <f>IF(F228&lt;&gt;"",ROW()-4,"")</f>
        <v/>
      </c>
      <c r="B228" s="15" t="n"/>
      <c r="C228" s="4" t="n"/>
      <c r="D228" s="4" t="n"/>
      <c r="E228" s="4" t="n"/>
      <c r="F228" s="16" t="n"/>
      <c r="G228" s="4" t="n"/>
      <c r="H228" s="4" t="n"/>
      <c r="I228" s="4" t="n"/>
      <c r="J228" s="4" t="n"/>
    </row>
    <row r="229">
      <c r="A229" s="14">
        <f>IF(F229&lt;&gt;"",ROW()-4,"")</f>
        <v/>
      </c>
      <c r="B229" s="15" t="n"/>
      <c r="C229" s="4" t="n"/>
      <c r="D229" s="4" t="n"/>
      <c r="E229" s="4" t="n"/>
      <c r="F229" s="16" t="n"/>
      <c r="G229" s="4" t="n"/>
      <c r="H229" s="4" t="n"/>
      <c r="I229" s="4" t="n"/>
      <c r="J229" s="4" t="n"/>
    </row>
    <row r="230">
      <c r="A230" s="18">
        <f>IF(F230&lt;&gt;"",ROW()-4,"")</f>
        <v/>
      </c>
      <c r="B230" s="15" t="n"/>
      <c r="C230" s="4" t="n"/>
      <c r="D230" s="4" t="n"/>
      <c r="E230" s="4" t="n"/>
      <c r="F230" s="16" t="n"/>
      <c r="G230" s="4" t="n"/>
      <c r="H230" s="4" t="n"/>
      <c r="I230" s="4" t="n"/>
      <c r="J230" s="4" t="n"/>
    </row>
    <row r="231">
      <c r="A231" s="14">
        <f>IF(F231&lt;&gt;"",ROW()-4,"")</f>
        <v/>
      </c>
      <c r="B231" s="15" t="n"/>
      <c r="C231" s="4" t="n"/>
      <c r="D231" s="4" t="n"/>
      <c r="E231" s="4" t="n"/>
      <c r="F231" s="16" t="n"/>
      <c r="G231" s="4" t="n"/>
      <c r="H231" s="4" t="n"/>
      <c r="I231" s="4" t="n"/>
      <c r="J231" s="4" t="n"/>
    </row>
    <row r="232">
      <c r="A232" s="18">
        <f>IF(F232&lt;&gt;"",ROW()-4,"")</f>
        <v/>
      </c>
      <c r="B232" s="15" t="n"/>
      <c r="C232" s="4" t="n"/>
      <c r="D232" s="4" t="n"/>
      <c r="E232" s="4" t="n"/>
      <c r="F232" s="16" t="n"/>
      <c r="G232" s="4" t="n"/>
      <c r="H232" s="4" t="n"/>
      <c r="I232" s="4" t="n"/>
      <c r="J232" s="4" t="n"/>
    </row>
    <row r="233">
      <c r="A233" s="14">
        <f>IF(F233&lt;&gt;"",ROW()-4,"")</f>
        <v/>
      </c>
      <c r="B233" s="15" t="n"/>
      <c r="C233" s="4" t="n"/>
      <c r="D233" s="4" t="n"/>
      <c r="E233" s="4" t="n"/>
      <c r="F233" s="16" t="n"/>
      <c r="G233" s="4" t="n"/>
      <c r="H233" s="4" t="n"/>
      <c r="I233" s="4" t="n"/>
      <c r="J233" s="4" t="n"/>
    </row>
    <row r="234">
      <c r="A234" s="18">
        <f>IF(F234&lt;&gt;"",ROW()-4,"")</f>
        <v/>
      </c>
      <c r="B234" s="15" t="n"/>
      <c r="C234" s="4" t="n"/>
      <c r="D234" s="4" t="n"/>
      <c r="E234" s="4" t="n"/>
      <c r="F234" s="16" t="n"/>
      <c r="G234" s="4" t="n"/>
      <c r="H234" s="4" t="n"/>
      <c r="I234" s="4" t="n"/>
      <c r="J234" s="4" t="n"/>
    </row>
    <row r="235">
      <c r="A235" s="14">
        <f>IF(F235&lt;&gt;"",ROW()-4,"")</f>
        <v/>
      </c>
      <c r="B235" s="15" t="n"/>
      <c r="C235" s="4" t="n"/>
      <c r="D235" s="4" t="n"/>
      <c r="E235" s="4" t="n"/>
      <c r="F235" s="16" t="n"/>
      <c r="G235" s="4" t="n"/>
      <c r="H235" s="4" t="n"/>
      <c r="I235" s="4" t="n"/>
      <c r="J235" s="4" t="n"/>
    </row>
    <row r="236">
      <c r="A236" s="18">
        <f>IF(F236&lt;&gt;"",ROW()-4,"")</f>
        <v/>
      </c>
      <c r="B236" s="15" t="n"/>
      <c r="C236" s="4" t="n"/>
      <c r="D236" s="4" t="n"/>
      <c r="E236" s="4" t="n"/>
      <c r="F236" s="16" t="n"/>
      <c r="G236" s="4" t="n"/>
      <c r="H236" s="4" t="n"/>
      <c r="I236" s="4" t="n"/>
      <c r="J236" s="4" t="n"/>
    </row>
    <row r="237">
      <c r="A237" s="14">
        <f>IF(F237&lt;&gt;"",ROW()-4,"")</f>
        <v/>
      </c>
      <c r="B237" s="15" t="n"/>
      <c r="C237" s="4" t="n"/>
      <c r="D237" s="4" t="n"/>
      <c r="E237" s="4" t="n"/>
      <c r="F237" s="16" t="n"/>
      <c r="G237" s="4" t="n"/>
      <c r="H237" s="4" t="n"/>
      <c r="I237" s="4" t="n"/>
      <c r="J237" s="4" t="n"/>
    </row>
    <row r="238">
      <c r="A238" s="18">
        <f>IF(F238&lt;&gt;"",ROW()-4,"")</f>
        <v/>
      </c>
      <c r="B238" s="15" t="n"/>
      <c r="C238" s="4" t="n"/>
      <c r="D238" s="4" t="n"/>
      <c r="E238" s="4" t="n"/>
      <c r="F238" s="16" t="n"/>
      <c r="G238" s="4" t="n"/>
      <c r="H238" s="4" t="n"/>
      <c r="I238" s="4" t="n"/>
      <c r="J238" s="4" t="n"/>
    </row>
    <row r="239">
      <c r="A239" s="14">
        <f>IF(F239&lt;&gt;"",ROW()-4,"")</f>
        <v/>
      </c>
      <c r="B239" s="15" t="n"/>
      <c r="C239" s="4" t="n"/>
      <c r="D239" s="4" t="n"/>
      <c r="E239" s="4" t="n"/>
      <c r="F239" s="16" t="n"/>
      <c r="G239" s="4" t="n"/>
      <c r="H239" s="4" t="n"/>
      <c r="I239" s="4" t="n"/>
      <c r="J239" s="4" t="n"/>
    </row>
    <row r="240">
      <c r="A240" s="18">
        <f>IF(F240&lt;&gt;"",ROW()-4,"")</f>
        <v/>
      </c>
      <c r="B240" s="15" t="n"/>
      <c r="C240" s="4" t="n"/>
      <c r="D240" s="4" t="n"/>
      <c r="E240" s="4" t="n"/>
      <c r="F240" s="16" t="n"/>
      <c r="G240" s="4" t="n"/>
      <c r="H240" s="4" t="n"/>
      <c r="I240" s="4" t="n"/>
      <c r="J240" s="4" t="n"/>
    </row>
    <row r="241">
      <c r="A241" s="14">
        <f>IF(F241&lt;&gt;"",ROW()-4,"")</f>
        <v/>
      </c>
      <c r="B241" s="15" t="n"/>
      <c r="C241" s="4" t="n"/>
      <c r="D241" s="4" t="n"/>
      <c r="E241" s="4" t="n"/>
      <c r="F241" s="16" t="n"/>
      <c r="G241" s="4" t="n"/>
      <c r="H241" s="4" t="n"/>
      <c r="I241" s="4" t="n"/>
      <c r="J241" s="4" t="n"/>
    </row>
    <row r="242">
      <c r="A242" s="18">
        <f>IF(F242&lt;&gt;"",ROW()-4,"")</f>
        <v/>
      </c>
      <c r="B242" s="15" t="n"/>
      <c r="C242" s="4" t="n"/>
      <c r="D242" s="4" t="n"/>
      <c r="E242" s="4" t="n"/>
      <c r="F242" s="16" t="n"/>
      <c r="G242" s="4" t="n"/>
      <c r="H242" s="4" t="n"/>
      <c r="I242" s="4" t="n"/>
      <c r="J242" s="4" t="n"/>
    </row>
    <row r="243">
      <c r="A243" s="14">
        <f>IF(F243&lt;&gt;"",ROW()-4,"")</f>
        <v/>
      </c>
      <c r="B243" s="15" t="n"/>
      <c r="C243" s="4" t="n"/>
      <c r="D243" s="4" t="n"/>
      <c r="E243" s="4" t="n"/>
      <c r="F243" s="16" t="n"/>
      <c r="G243" s="4" t="n"/>
      <c r="H243" s="4" t="n"/>
      <c r="I243" s="4" t="n"/>
      <c r="J243" s="4" t="n"/>
    </row>
    <row r="244">
      <c r="A244" s="18">
        <f>IF(F244&lt;&gt;"",ROW()-4,"")</f>
        <v/>
      </c>
      <c r="B244" s="15" t="n"/>
      <c r="C244" s="4" t="n"/>
      <c r="D244" s="4" t="n"/>
      <c r="E244" s="4" t="n"/>
      <c r="F244" s="16" t="n"/>
      <c r="G244" s="4" t="n"/>
      <c r="H244" s="4" t="n"/>
      <c r="I244" s="4" t="n"/>
      <c r="J244" s="4" t="n"/>
    </row>
    <row r="245">
      <c r="A245" s="14">
        <f>IF(F245&lt;&gt;"",ROW()-4,"")</f>
        <v/>
      </c>
      <c r="B245" s="15" t="n"/>
      <c r="C245" s="4" t="n"/>
      <c r="D245" s="4" t="n"/>
      <c r="E245" s="4" t="n"/>
      <c r="F245" s="16" t="n"/>
      <c r="G245" s="4" t="n"/>
      <c r="H245" s="4" t="n"/>
      <c r="I245" s="4" t="n"/>
      <c r="J245" s="4" t="n"/>
    </row>
    <row r="246">
      <c r="A246" s="18">
        <f>IF(F246&lt;&gt;"",ROW()-4,"")</f>
        <v/>
      </c>
      <c r="B246" s="15" t="n"/>
      <c r="C246" s="4" t="n"/>
      <c r="D246" s="4" t="n"/>
      <c r="E246" s="4" t="n"/>
      <c r="F246" s="16" t="n"/>
      <c r="G246" s="4" t="n"/>
      <c r="H246" s="4" t="n"/>
      <c r="I246" s="4" t="n"/>
      <c r="J246" s="4" t="n"/>
    </row>
    <row r="247">
      <c r="A247" s="14">
        <f>IF(F247&lt;&gt;"",ROW()-4,"")</f>
        <v/>
      </c>
      <c r="B247" s="15" t="n"/>
      <c r="C247" s="4" t="n"/>
      <c r="D247" s="4" t="n"/>
      <c r="E247" s="4" t="n"/>
      <c r="F247" s="16" t="n"/>
      <c r="G247" s="4" t="n"/>
      <c r="H247" s="4" t="n"/>
      <c r="I247" s="4" t="n"/>
      <c r="J247" s="4" t="n"/>
    </row>
    <row r="248">
      <c r="A248" s="18">
        <f>IF(F248&lt;&gt;"",ROW()-4,"")</f>
        <v/>
      </c>
      <c r="B248" s="15" t="n"/>
      <c r="C248" s="4" t="n"/>
      <c r="D248" s="4" t="n"/>
      <c r="E248" s="4" t="n"/>
      <c r="F248" s="16" t="n"/>
      <c r="G248" s="4" t="n"/>
      <c r="H248" s="4" t="n"/>
      <c r="I248" s="4" t="n"/>
      <c r="J248" s="4" t="n"/>
    </row>
    <row r="249">
      <c r="A249" s="14">
        <f>IF(F249&lt;&gt;"",ROW()-4,"")</f>
        <v/>
      </c>
      <c r="B249" s="15" t="n"/>
      <c r="C249" s="4" t="n"/>
      <c r="D249" s="4" t="n"/>
      <c r="E249" s="4" t="n"/>
      <c r="F249" s="16" t="n"/>
      <c r="G249" s="4" t="n"/>
      <c r="H249" s="4" t="n"/>
      <c r="I249" s="4" t="n"/>
      <c r="J249" s="4" t="n"/>
    </row>
    <row r="250">
      <c r="A250" s="18">
        <f>IF(F250&lt;&gt;"",ROW()-4,"")</f>
        <v/>
      </c>
      <c r="B250" s="15" t="n"/>
      <c r="C250" s="4" t="n"/>
      <c r="D250" s="4" t="n"/>
      <c r="E250" s="4" t="n"/>
      <c r="F250" s="16" t="n"/>
      <c r="G250" s="4" t="n"/>
      <c r="H250" s="4" t="n"/>
      <c r="I250" s="4" t="n"/>
      <c r="J250" s="4" t="n"/>
    </row>
    <row r="251">
      <c r="A251" s="14">
        <f>IF(F251&lt;&gt;"",ROW()-4,"")</f>
        <v/>
      </c>
      <c r="B251" s="15" t="n"/>
      <c r="C251" s="4" t="n"/>
      <c r="D251" s="4" t="n"/>
      <c r="E251" s="4" t="n"/>
      <c r="F251" s="16" t="n"/>
      <c r="G251" s="4" t="n"/>
      <c r="H251" s="4" t="n"/>
      <c r="I251" s="4" t="n"/>
      <c r="J251" s="4" t="n"/>
    </row>
    <row r="252">
      <c r="A252" s="18">
        <f>IF(F252&lt;&gt;"",ROW()-4,"")</f>
        <v/>
      </c>
      <c r="B252" s="15" t="n"/>
      <c r="C252" s="4" t="n"/>
      <c r="D252" s="4" t="n"/>
      <c r="E252" s="4" t="n"/>
      <c r="F252" s="16" t="n"/>
      <c r="G252" s="4" t="n"/>
      <c r="H252" s="4" t="n"/>
      <c r="I252" s="4" t="n"/>
      <c r="J252" s="4" t="n"/>
    </row>
    <row r="253">
      <c r="A253" s="14">
        <f>IF(F253&lt;&gt;"",ROW()-4,"")</f>
        <v/>
      </c>
      <c r="B253" s="15" t="n"/>
      <c r="C253" s="4" t="n"/>
      <c r="D253" s="4" t="n"/>
      <c r="E253" s="4" t="n"/>
      <c r="F253" s="16" t="n"/>
      <c r="G253" s="4" t="n"/>
      <c r="H253" s="4" t="n"/>
      <c r="I253" s="4" t="n"/>
      <c r="J253" s="4" t="n"/>
    </row>
    <row r="254">
      <c r="A254" s="18">
        <f>IF(F254&lt;&gt;"",ROW()-4,"")</f>
        <v/>
      </c>
      <c r="B254" s="15" t="n"/>
      <c r="C254" s="4" t="n"/>
      <c r="D254" s="4" t="n"/>
      <c r="E254" s="4" t="n"/>
      <c r="F254" s="16" t="n"/>
      <c r="G254" s="4" t="n"/>
      <c r="H254" s="4" t="n"/>
      <c r="I254" s="4" t="n"/>
      <c r="J254" s="4" t="n"/>
    </row>
    <row r="255">
      <c r="A255" s="14">
        <f>IF(F255&lt;&gt;"",ROW()-4,"")</f>
        <v/>
      </c>
      <c r="B255" s="15" t="n"/>
      <c r="C255" s="4" t="n"/>
      <c r="D255" s="4" t="n"/>
      <c r="E255" s="4" t="n"/>
      <c r="F255" s="16" t="n"/>
      <c r="G255" s="4" t="n"/>
      <c r="H255" s="4" t="n"/>
      <c r="I255" s="4" t="n"/>
      <c r="J255" s="4" t="n"/>
    </row>
    <row r="256" ht="24" customHeight="1">
      <c r="A256" s="19" t="inlineStr">
        <is>
          <t>TOTAL EXPENSES THIS MONTH</t>
        </is>
      </c>
      <c r="F256" s="11">
        <f>SUM(F5:F255)</f>
        <v/>
      </c>
      <c r="G256" s="12" t="n"/>
      <c r="H256" s="12" t="n"/>
      <c r="I256" s="12" t="n"/>
      <c r="J256" s="12" t="n"/>
    </row>
  </sheetData>
  <mergeCells count="3">
    <mergeCell ref="A1:J1"/>
    <mergeCell ref="A2:J2"/>
    <mergeCell ref="A256:E256"/>
  </mergeCells>
  <conditionalFormatting sqref="A5:J255">
    <cfRule type="expression" priority="1" dxfId="0">
      <formula>$D5="Fixed Bills"</formula>
    </cfRule>
    <cfRule type="expression" priority="2" dxfId="1">
      <formula>$D5="Food &amp; Dining"</formula>
    </cfRule>
    <cfRule type="expression" priority="3" dxfId="2">
      <formula>$D5="Transport &amp; Fuel"</formula>
    </cfRule>
    <cfRule type="expression" priority="4" dxfId="3">
      <formula>$D5="Shopping &amp; Clothing"</formula>
    </cfRule>
    <cfRule type="expression" priority="5" dxfId="4">
      <formula>$D5="Entertainment &amp; OTT"</formula>
    </cfRule>
    <cfRule type="expression" priority="6" dxfId="5">
      <formula>$D5="Groceries"</formula>
    </cfRule>
    <cfRule type="expression" priority="7" dxfId="6">
      <formula>$D5="Investment"</formula>
    </cfRule>
    <cfRule type="expression" priority="8" dxfId="7">
      <formula>$D5="Added to Savings"</formula>
    </cfRule>
    <cfRule type="expression" priority="9" dxfId="8">
      <formula>$D5="Credit Card Payment"</formula>
    </cfRule>
    <cfRule type="expression" priority="10" dxfId="9">
      <formula>$D5="Miscellaneous"</formula>
    </cfRule>
  </conditionalFormatting>
  <dataValidations count="5">
    <dataValidation sqref="D5:D255" showErrorMessage="1" showInputMessage="1" allowBlank="1" errorTitle="Invalid Category" error="Pick a category from the list" type="list">
      <formula1>_Lists!$A$1:$A$10</formula1>
    </dataValidation>
    <dataValidation sqref="E5:E255" showErrorMessage="1" showDropDown="0" showInputMessage="1" allowBlank="1" type="list">
      <formula1>_Lists!$O$1:$O$41</formula1>
    </dataValidation>
    <dataValidation sqref="G5:G255" showErrorMessage="1" showInputMessage="1" allowBlank="1" type="list">
      <formula1>_Lists!$Q$1:$Q$8</formula1>
    </dataValidation>
    <dataValidation sqref="H5:H255" showErrorMessage="1" showInputMessage="1" allowBlank="1" type="list">
      <formula1>Setup!$D$5:$D$9</formula1>
    </dataValidation>
    <dataValidation sqref="I5:I255" showErrorMessage="1" showInputMessage="1" allowBlank="1" type="list">
      <formula1>_Lists!$R$1:$R$10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22" customWidth="1" min="4" max="4"/>
    <col width="22" customWidth="1" min="5" max="5"/>
    <col width="14" customWidth="1" min="6" max="6"/>
    <col width="20" customWidth="1" min="7" max="7"/>
    <col width="20" customWidth="1" min="8" max="8"/>
    <col width="22" customWidth="1" min="9" max="9"/>
    <col width="22" customWidth="1" min="10" max="10"/>
    <col width="2" customWidth="1" min="11" max="11"/>
    <col width="26" customWidth="1" min="12" max="12"/>
    <col width="16" customWidth="1" min="13" max="13"/>
  </cols>
  <sheetData>
    <row r="1" ht="36" customHeight="1">
      <c r="A1" s="1" t="inlineStr">
        <is>
          <t>📝  SEPTEMBER — EXPENSE LOG</t>
        </is>
      </c>
    </row>
    <row r="2" ht="32" customHeight="1">
      <c r="A2" s="13" t="inlineStr">
        <is>
          <t>ℹ️  Date is DateTime. Category dropdown → Sub-category changes automatically. 'Added to Savings' → pick your saving account in Sub-category. CC spend → pick card in 'CC Name'. CC payment → increases card limit.</t>
        </is>
      </c>
    </row>
    <row r="4" ht="28" customHeight="1">
      <c r="A4" s="3" t="inlineStr">
        <is>
          <t>#</t>
        </is>
      </c>
      <c r="B4" s="3" t="inlineStr">
        <is>
          <t>Date &amp; Time</t>
        </is>
      </c>
      <c r="C4" s="3" t="inlineStr">
        <is>
          <t>Description</t>
        </is>
      </c>
      <c r="D4" s="3" t="inlineStr">
        <is>
          <t>Category</t>
        </is>
      </c>
      <c r="E4" s="3" t="inlineStr">
        <is>
          <t>Sub-category</t>
        </is>
      </c>
      <c r="F4" s="3" t="inlineStr">
        <is>
          <t>Amount (₹)</t>
        </is>
      </c>
      <c r="G4" s="3" t="inlineStr">
        <is>
          <t>Paid From</t>
        </is>
      </c>
      <c r="H4" s="3" t="inlineStr">
        <is>
          <t>CC Name</t>
        </is>
      </c>
      <c r="I4" s="3" t="inlineStr">
        <is>
          <t>Account</t>
        </is>
      </c>
      <c r="J4" s="3" t="inlineStr">
        <is>
          <t>Notes</t>
        </is>
      </c>
      <c r="L4" s="3" t="inlineStr">
        <is>
          <t>📊  September Summary</t>
        </is>
      </c>
      <c r="M4" s="3" t="inlineStr">
        <is>
          <t>Amount (₹)</t>
        </is>
      </c>
    </row>
    <row r="5" ht="22" customHeight="1">
      <c r="A5" s="14">
        <f>IF(F5&lt;&gt;"",ROW()-4,"")</f>
        <v/>
      </c>
      <c r="B5" s="15" t="n"/>
      <c r="C5" s="4" t="n"/>
      <c r="D5" s="4" t="n"/>
      <c r="E5" s="4" t="n"/>
      <c r="F5" s="16" t="n"/>
      <c r="G5" s="4" t="n"/>
      <c r="H5" s="4" t="n"/>
      <c r="I5" s="4" t="n"/>
      <c r="J5" s="4" t="n"/>
      <c r="L5" s="17" t="inlineStr">
        <is>
          <t>Total Expenses</t>
        </is>
      </c>
      <c r="M5" s="9">
        <f>F256</f>
        <v/>
      </c>
    </row>
    <row r="6" ht="22" customHeight="1">
      <c r="A6" s="18">
        <f>IF(F6&lt;&gt;"",ROW()-4,"")</f>
        <v/>
      </c>
      <c r="B6" s="15" t="n"/>
      <c r="C6" s="4" t="n"/>
      <c r="D6" s="4" t="n"/>
      <c r="E6" s="4" t="n"/>
      <c r="F6" s="16" t="n"/>
      <c r="G6" s="4" t="n"/>
      <c r="H6" s="4" t="n"/>
      <c r="I6" s="4" t="n"/>
      <c r="J6" s="4" t="n"/>
      <c r="L6" s="17" t="inlineStr">
        <is>
          <t>Income This Month</t>
        </is>
      </c>
      <c r="M6" s="9">
        <f>Income!E9</f>
        <v/>
      </c>
    </row>
    <row r="7" ht="22" customHeight="1">
      <c r="A7" s="14">
        <f>IF(F7&lt;&gt;"",ROW()-4,"")</f>
        <v/>
      </c>
      <c r="B7" s="15" t="n"/>
      <c r="C7" s="4" t="n"/>
      <c r="D7" s="4" t="n"/>
      <c r="E7" s="4" t="n"/>
      <c r="F7" s="16" t="n"/>
      <c r="G7" s="4" t="n"/>
      <c r="H7" s="4" t="n"/>
      <c r="I7" s="4" t="n"/>
      <c r="J7" s="4" t="n"/>
      <c r="L7" s="17" t="inlineStr">
        <is>
          <t>Net This Month</t>
        </is>
      </c>
      <c r="M7" s="9">
        <f>M6-M5</f>
        <v/>
      </c>
    </row>
    <row r="8" ht="22" customHeight="1">
      <c r="A8" s="18">
        <f>IF(F8&lt;&gt;"",ROW()-4,"")</f>
        <v/>
      </c>
      <c r="B8" s="15" t="n"/>
      <c r="C8" s="4" t="n"/>
      <c r="D8" s="4" t="n"/>
      <c r="E8" s="4" t="n"/>
      <c r="F8" s="16" t="n"/>
      <c r="G8" s="4" t="n"/>
      <c r="H8" s="4" t="n"/>
      <c r="I8" s="4" t="n"/>
      <c r="J8" s="4" t="n"/>
      <c r="L8" s="17" t="inlineStr">
        <is>
          <t>Savings 1 (this month)</t>
        </is>
      </c>
      <c r="M8" s="9">
        <f>IF(Setup!A13&lt;&gt;"",SUMIFS(F5:F255,D5:D255,"Added to Savings",I5:I255,Setup!A13)-SUMIFS(F5:F255,G5:G255,Setup!A13),"")</f>
        <v/>
      </c>
    </row>
    <row r="9" ht="22" customHeight="1">
      <c r="A9" s="14">
        <f>IF(F9&lt;&gt;"",ROW()-4,"")</f>
        <v/>
      </c>
      <c r="B9" s="15" t="n"/>
      <c r="C9" s="4" t="n"/>
      <c r="D9" s="4" t="n"/>
      <c r="E9" s="4" t="n"/>
      <c r="F9" s="16" t="n"/>
      <c r="G9" s="4" t="n"/>
      <c r="H9" s="4" t="n"/>
      <c r="I9" s="4" t="n"/>
      <c r="J9" s="4" t="n"/>
      <c r="L9" s="17" t="inlineStr">
        <is>
          <t>Savings 1 (balance)</t>
        </is>
      </c>
      <c r="M9" s="9">
        <f>IF(Setup!A13&lt;&gt;"",Setup!B13+(SUMIFS('April'!F5:F64,'April'!D5:D64,"Added to Savings",'April'!I5:I64,Setup!A13)+SUMIFS('May'!F5:F64,'May'!D5:D64,"Added to Savings",'May'!I5:I64,Setup!A13)+SUMIFS('June'!F5:F64,'June'!D5:D64,"Added to Savings",'June'!I5:I64,Setup!A13)+SUMIFS('July'!F5:F64,'July'!D5:D64,"Added to Savings",'July'!I5:I64,Setup!A13)+SUMIFS('August'!F5:F64,'August'!D5:D64,"Added to Savings",'August'!I5:I64,Setup!A13)+SUMIFS('September'!F5:F64,'September'!D5:D64,"Added to Savings",'September'!I5:I64,Setup!A13))-(SUMIFS('April'!F5:F64,'April'!G5:G64,Setup!A13)+SUMIFS('May'!F5:F64,'May'!G5:G64,Setup!A13)+SUMIFS('June'!F5:F64,'June'!G5:G64,Setup!A13)+SUMIFS('July'!F5:F64,'July'!G5:G64,Setup!A13)+SUMIFS('August'!F5:F64,'August'!G5:G64,Setup!A13)+SUMIFS('September'!F5:F64,'September'!G5:G64,Setup!A13)),"")</f>
        <v/>
      </c>
    </row>
    <row r="10" ht="22" customHeight="1">
      <c r="A10" s="18">
        <f>IF(F10&lt;&gt;"",ROW()-4,"")</f>
        <v/>
      </c>
      <c r="B10" s="15" t="n"/>
      <c r="C10" s="4" t="n"/>
      <c r="D10" s="4" t="n"/>
      <c r="E10" s="4" t="n"/>
      <c r="F10" s="16" t="n"/>
      <c r="G10" s="4" t="n"/>
      <c r="H10" s="4" t="n"/>
      <c r="I10" s="4" t="n"/>
      <c r="J10" s="4" t="n"/>
      <c r="L10" s="17" t="inlineStr">
        <is>
          <t>Savings 2 (this month)</t>
        </is>
      </c>
      <c r="M10" s="9">
        <f>IF(Setup!A14&lt;&gt;"",SUMIFS(F5:F255,D5:D255,"Added to Savings",I5:I255,Setup!A14)-SUMIFS(F5:F255,G5:G255,Setup!A14),"")</f>
        <v/>
      </c>
    </row>
    <row r="11" ht="22" customHeight="1">
      <c r="A11" s="14">
        <f>IF(F11&lt;&gt;"",ROW()-4,"")</f>
        <v/>
      </c>
      <c r="B11" s="15" t="n"/>
      <c r="C11" s="4" t="n"/>
      <c r="D11" s="4" t="n"/>
      <c r="E11" s="4" t="n"/>
      <c r="F11" s="16" t="n"/>
      <c r="G11" s="4" t="n"/>
      <c r="H11" s="4" t="n"/>
      <c r="I11" s="4" t="n"/>
      <c r="J11" s="4" t="n"/>
      <c r="L11" s="17" t="inlineStr">
        <is>
          <t>Savings 2 (balance)</t>
        </is>
      </c>
      <c r="M11" s="9">
        <f>IF(Setup!A14&lt;&gt;"",Setup!B14+(SUMIFS('April'!F5:F64,'April'!D5:D64,"Added to Savings",'April'!I5:I64,Setup!A14)+SUMIFS('May'!F5:F64,'May'!D5:D64,"Added to Savings",'May'!I5:I64,Setup!A14)+SUMIFS('June'!F5:F64,'June'!D5:D64,"Added to Savings",'June'!I5:I64,Setup!A14)+SUMIFS('July'!F5:F64,'July'!D5:D64,"Added to Savings",'July'!I5:I64,Setup!A14)+SUMIFS('August'!F5:F64,'August'!D5:D64,"Added to Savings",'August'!I5:I64,Setup!A14)+SUMIFS('September'!F5:F64,'September'!D5:D64,"Added to Savings",'September'!I5:I64,Setup!A14))-(SUMIFS('April'!F5:F64,'April'!G5:G64,Setup!A14)+SUMIFS('May'!F5:F64,'May'!G5:G64,Setup!A14)+SUMIFS('June'!F5:F64,'June'!G5:G64,Setup!A14)+SUMIFS('July'!F5:F64,'July'!G5:G64,Setup!A14)+SUMIFS('August'!F5:F64,'August'!G5:G64,Setup!A14)+SUMIFS('September'!F5:F64,'September'!G5:G64,Setup!A14)),"")</f>
        <v/>
      </c>
    </row>
    <row r="12" ht="22" customHeight="1">
      <c r="A12" s="18">
        <f>IF(F12&lt;&gt;"",ROW()-4,"")</f>
        <v/>
      </c>
      <c r="B12" s="15" t="n"/>
      <c r="C12" s="4" t="n"/>
      <c r="D12" s="4" t="n"/>
      <c r="E12" s="4" t="n"/>
      <c r="F12" s="16" t="n"/>
      <c r="G12" s="4" t="n"/>
      <c r="H12" s="4" t="n"/>
      <c r="I12" s="4" t="n"/>
      <c r="J12" s="4" t="n"/>
      <c r="L12" s="17" t="inlineStr">
        <is>
          <t>Savings 3 (this month)</t>
        </is>
      </c>
      <c r="M12" s="9">
        <f>IF(Setup!A15&lt;&gt;"",SUMIFS(F5:F255,D5:D255,"Added to Savings",I5:I255,Setup!A15)-SUMIFS(F5:F255,G5:G255,Setup!A15),"")</f>
        <v/>
      </c>
    </row>
    <row r="13" ht="22" customHeight="1">
      <c r="A13" s="14">
        <f>IF(F13&lt;&gt;"",ROW()-4,"")</f>
        <v/>
      </c>
      <c r="B13" s="15" t="n"/>
      <c r="C13" s="4" t="n"/>
      <c r="D13" s="4" t="n"/>
      <c r="E13" s="4" t="n"/>
      <c r="F13" s="16" t="n"/>
      <c r="G13" s="4" t="n"/>
      <c r="H13" s="4" t="n"/>
      <c r="I13" s="4" t="n"/>
      <c r="J13" s="4" t="n"/>
      <c r="L13" s="17" t="inlineStr">
        <is>
          <t>Savings 3 (balance)</t>
        </is>
      </c>
      <c r="M13" s="9">
        <f>IF(Setup!A15&lt;&gt;"",Setup!B15+(SUMIFS('April'!F5:F64,'April'!D5:D64,"Added to Savings",'April'!I5:I64,Setup!A15)+SUMIFS('May'!F5:F64,'May'!D5:D64,"Added to Savings",'May'!I5:I64,Setup!A15)+SUMIFS('June'!F5:F64,'June'!D5:D64,"Added to Savings",'June'!I5:I64,Setup!A15)+SUMIFS('July'!F5:F64,'July'!D5:D64,"Added to Savings",'July'!I5:I64,Setup!A15)+SUMIFS('August'!F5:F64,'August'!D5:D64,"Added to Savings",'August'!I5:I64,Setup!A15)+SUMIFS('September'!F5:F64,'September'!D5:D64,"Added to Savings",'September'!I5:I64,Setup!A15))-(SUMIFS('April'!F5:F64,'April'!G5:G64,Setup!A15)+SUMIFS('May'!F5:F64,'May'!G5:G64,Setup!A15)+SUMIFS('June'!F5:F64,'June'!G5:G64,Setup!A15)+SUMIFS('July'!F5:F64,'July'!G5:G64,Setup!A15)+SUMIFS('August'!F5:F64,'August'!G5:G64,Setup!A15)+SUMIFS('September'!F5:F64,'September'!G5:G64,Setup!A15)),"")</f>
        <v/>
      </c>
    </row>
    <row r="14" ht="22" customHeight="1">
      <c r="A14" s="18">
        <f>IF(F14&lt;&gt;"",ROW()-4,"")</f>
        <v/>
      </c>
      <c r="B14" s="15" t="n"/>
      <c r="C14" s="4" t="n"/>
      <c r="D14" s="4" t="n"/>
      <c r="E14" s="4" t="n"/>
      <c r="F14" s="16" t="n"/>
      <c r="G14" s="4" t="n"/>
      <c r="H14" s="4" t="n"/>
      <c r="I14" s="4" t="n"/>
      <c r="J14" s="4" t="n"/>
      <c r="L14" s="17" t="inlineStr">
        <is>
          <t>Savings 4 (this month)</t>
        </is>
      </c>
      <c r="M14" s="9">
        <f>IF(Setup!A16&lt;&gt;"",SUMIFS(F5:F255,D5:D255,"Added to Savings",I5:I255,Setup!A16)-SUMIFS(F5:F255,G5:G255,Setup!A16),"")</f>
        <v/>
      </c>
    </row>
    <row r="15" ht="22" customHeight="1">
      <c r="A15" s="14">
        <f>IF(F15&lt;&gt;"",ROW()-4,"")</f>
        <v/>
      </c>
      <c r="B15" s="15" t="n"/>
      <c r="C15" s="4" t="n"/>
      <c r="D15" s="4" t="n"/>
      <c r="E15" s="4" t="n"/>
      <c r="F15" s="16" t="n"/>
      <c r="G15" s="4" t="n"/>
      <c r="H15" s="4" t="n"/>
      <c r="I15" s="4" t="n"/>
      <c r="J15" s="4" t="n"/>
      <c r="L15" s="17" t="inlineStr">
        <is>
          <t>Savings 4 (balance)</t>
        </is>
      </c>
      <c r="M15" s="9">
        <f>IF(Setup!A16&lt;&gt;"",Setup!B16+(SUMIFS('April'!F5:F64,'April'!D5:D64,"Added to Savings",'April'!I5:I64,Setup!A16)+SUMIFS('May'!F5:F64,'May'!D5:D64,"Added to Savings",'May'!I5:I64,Setup!A16)+SUMIFS('June'!F5:F64,'June'!D5:D64,"Added to Savings",'June'!I5:I64,Setup!A16)+SUMIFS('July'!F5:F64,'July'!D5:D64,"Added to Savings",'July'!I5:I64,Setup!A16)+SUMIFS('August'!F5:F64,'August'!D5:D64,"Added to Savings",'August'!I5:I64,Setup!A16)+SUMIFS('September'!F5:F64,'September'!D5:D64,"Added to Savings",'September'!I5:I64,Setup!A16))-(SUMIFS('April'!F5:F64,'April'!G5:G64,Setup!A16)+SUMIFS('May'!F5:F64,'May'!G5:G64,Setup!A16)+SUMIFS('June'!F5:F64,'June'!G5:G64,Setup!A16)+SUMIFS('July'!F5:F64,'July'!G5:G64,Setup!A16)+SUMIFS('August'!F5:F64,'August'!G5:G64,Setup!A16)+SUMIFS('September'!F5:F64,'September'!G5:G64,Setup!A16)),"")</f>
        <v/>
      </c>
    </row>
    <row r="16" ht="22" customHeight="1">
      <c r="A16" s="18">
        <f>IF(F16&lt;&gt;"",ROW()-4,"")</f>
        <v/>
      </c>
      <c r="B16" s="15" t="n"/>
      <c r="C16" s="4" t="n"/>
      <c r="D16" s="4" t="n"/>
      <c r="E16" s="4" t="n"/>
      <c r="F16" s="16" t="n"/>
      <c r="G16" s="4" t="n"/>
      <c r="H16" s="4" t="n"/>
      <c r="I16" s="4" t="n"/>
      <c r="J16" s="4" t="n"/>
      <c r="L16" s="17" t="inlineStr">
        <is>
          <t>Savings 5 (this month)</t>
        </is>
      </c>
      <c r="M16" s="9">
        <f>IF(Setup!A17&lt;&gt;"",SUMIFS(F5:F255,D5:D255,"Added to Savings",I5:I255,Setup!A17)-SUMIFS(F5:F255,G5:G255,Setup!A17),"")</f>
        <v/>
      </c>
    </row>
    <row r="17" ht="22" customHeight="1">
      <c r="A17" s="14">
        <f>IF(F17&lt;&gt;"",ROW()-4,"")</f>
        <v/>
      </c>
      <c r="B17" s="15" t="n"/>
      <c r="C17" s="4" t="n"/>
      <c r="D17" s="4" t="n"/>
      <c r="E17" s="4" t="n"/>
      <c r="F17" s="16" t="n"/>
      <c r="G17" s="4" t="n"/>
      <c r="H17" s="4" t="n"/>
      <c r="I17" s="4" t="n"/>
      <c r="J17" s="4" t="n"/>
      <c r="L17" s="17" t="inlineStr">
        <is>
          <t>Savings 5 (balance)</t>
        </is>
      </c>
      <c r="M17" s="9">
        <f>IF(Setup!A17&lt;&gt;"",Setup!B17+(SUMIFS('April'!F5:F64,'April'!D5:D64,"Added to Savings",'April'!I5:I64,Setup!A17)+SUMIFS('May'!F5:F64,'May'!D5:D64,"Added to Savings",'May'!I5:I64,Setup!A17)+SUMIFS('June'!F5:F64,'June'!D5:D64,"Added to Savings",'June'!I5:I64,Setup!A17)+SUMIFS('July'!F5:F64,'July'!D5:D64,"Added to Savings",'July'!I5:I64,Setup!A17)+SUMIFS('August'!F5:F64,'August'!D5:D64,"Added to Savings",'August'!I5:I64,Setup!A17)+SUMIFS('September'!F5:F64,'September'!D5:D64,"Added to Savings",'September'!I5:I64,Setup!A17))-(SUMIFS('April'!F5:F64,'April'!G5:G64,Setup!A17)+SUMIFS('May'!F5:F64,'May'!G5:G64,Setup!A17)+SUMIFS('June'!F5:F64,'June'!G5:G64,Setup!A17)+SUMIFS('July'!F5:F64,'July'!G5:G64,Setup!A17)+SUMIFS('August'!F5:F64,'August'!G5:G64,Setup!A17)+SUMIFS('September'!F5:F64,'September'!G5:G64,Setup!A17)),"")</f>
        <v/>
      </c>
    </row>
    <row r="18" ht="22" customHeight="1">
      <c r="A18" s="18">
        <f>IF(F18&lt;&gt;"",ROW()-4,"")</f>
        <v/>
      </c>
      <c r="B18" s="15" t="n"/>
      <c r="C18" s="4" t="n"/>
      <c r="D18" s="4" t="n"/>
      <c r="E18" s="4" t="n"/>
      <c r="F18" s="16" t="n"/>
      <c r="G18" s="4" t="n"/>
      <c r="H18" s="4" t="n"/>
      <c r="I18" s="4" t="n"/>
      <c r="J18" s="4" t="n"/>
      <c r="L18" s="17" t="inlineStr">
        <is>
          <t>Fixed Bills Paid</t>
        </is>
      </c>
      <c r="M18" s="9">
        <f>SUMIF(D5:D255,"Fixed Bills",F5:F255)</f>
        <v/>
      </c>
    </row>
    <row r="19" ht="22" customHeight="1">
      <c r="A19" s="14">
        <f>IF(F19&lt;&gt;"",ROW()-4,"")</f>
        <v/>
      </c>
      <c r="B19" s="15" t="n"/>
      <c r="C19" s="4" t="n"/>
      <c r="D19" s="4" t="n"/>
      <c r="E19" s="4" t="n"/>
      <c r="F19" s="16" t="n"/>
      <c r="G19" s="4" t="n"/>
      <c r="H19" s="4" t="n"/>
      <c r="I19" s="4" t="n"/>
      <c r="J19" s="4" t="n"/>
      <c r="L19" s="17" t="inlineStr">
        <is>
          <t>Food &amp; Dining</t>
        </is>
      </c>
      <c r="M19" s="9">
        <f>SUMIF(D5:D255,"Food &amp; Dining",F5:F255)</f>
        <v/>
      </c>
    </row>
    <row r="20" ht="22" customHeight="1">
      <c r="A20" s="18">
        <f>IF(F20&lt;&gt;"",ROW()-4,"")</f>
        <v/>
      </c>
      <c r="B20" s="15" t="n"/>
      <c r="C20" s="4" t="n"/>
      <c r="D20" s="4" t="n"/>
      <c r="E20" s="4" t="n"/>
      <c r="F20" s="16" t="n"/>
      <c r="G20" s="4" t="n"/>
      <c r="H20" s="4" t="n"/>
      <c r="I20" s="4" t="n"/>
      <c r="J20" s="4" t="n"/>
      <c r="L20" s="17" t="inlineStr">
        <is>
          <t>Transport</t>
        </is>
      </c>
      <c r="M20" s="9">
        <f>SUMIF(D5:D255,"Transport &amp; Fuel",F5:F255)</f>
        <v/>
      </c>
    </row>
    <row r="21" ht="22" customHeight="1">
      <c r="A21" s="14">
        <f>IF(F21&lt;&gt;"",ROW()-4,"")</f>
        <v/>
      </c>
      <c r="B21" s="15" t="n"/>
      <c r="C21" s="4" t="n"/>
      <c r="D21" s="4" t="n"/>
      <c r="E21" s="4" t="n"/>
      <c r="F21" s="16" t="n"/>
      <c r="G21" s="4" t="n"/>
      <c r="H21" s="4" t="n"/>
      <c r="I21" s="4" t="n"/>
      <c r="J21" s="4" t="n"/>
      <c r="L21" s="17" t="inlineStr">
        <is>
          <t>Groceries</t>
        </is>
      </c>
      <c r="M21" s="9">
        <f>SUMIF(D5:D255,"Groceries",F5:F255)</f>
        <v/>
      </c>
    </row>
    <row r="22" ht="22" customHeight="1">
      <c r="A22" s="18">
        <f>IF(F22&lt;&gt;"",ROW()-4,"")</f>
        <v/>
      </c>
      <c r="B22" s="15" t="n"/>
      <c r="C22" s="4" t="n"/>
      <c r="D22" s="4" t="n"/>
      <c r="E22" s="4" t="n"/>
      <c r="F22" s="16" t="n"/>
      <c r="G22" s="4" t="n"/>
      <c r="H22" s="4" t="n"/>
      <c r="I22" s="4" t="n"/>
      <c r="J22" s="4" t="n"/>
      <c r="L22" s="17" t="inlineStr">
        <is>
          <t>Shopping</t>
        </is>
      </c>
      <c r="M22" s="9">
        <f>SUMIF(D5:D255,"Shopping &amp; Clothing",F5:F255)</f>
        <v/>
      </c>
    </row>
    <row r="23" ht="22" customHeight="1">
      <c r="A23" s="14">
        <f>IF(F23&lt;&gt;"",ROW()-4,"")</f>
        <v/>
      </c>
      <c r="B23" s="15" t="n"/>
      <c r="C23" s="4" t="n"/>
      <c r="D23" s="4" t="n"/>
      <c r="E23" s="4" t="n"/>
      <c r="F23" s="16" t="n"/>
      <c r="G23" s="4" t="n"/>
      <c r="H23" s="4" t="n"/>
      <c r="I23" s="4" t="n"/>
      <c r="J23" s="4" t="n"/>
      <c r="L23" s="17" t="inlineStr">
        <is>
          <t>Entertainment</t>
        </is>
      </c>
      <c r="M23" s="9">
        <f>SUMIF(D5:D255,"Entertainment &amp; OTT",F5:F255)</f>
        <v/>
      </c>
    </row>
    <row r="24" ht="22" customHeight="1">
      <c r="A24" s="18">
        <f>IF(F24&lt;&gt;"",ROW()-4,"")</f>
        <v/>
      </c>
      <c r="B24" s="15" t="n"/>
      <c r="C24" s="4" t="n"/>
      <c r="D24" s="4" t="n"/>
      <c r="E24" s="4" t="n"/>
      <c r="F24" s="16" t="n"/>
      <c r="G24" s="4" t="n"/>
      <c r="H24" s="4" t="n"/>
      <c r="I24" s="4" t="n"/>
      <c r="J24" s="4" t="n"/>
      <c r="L24" s="17" t="inlineStr">
        <is>
          <t>Investment</t>
        </is>
      </c>
      <c r="M24" s="9">
        <f>SUMIF(D5:D255,"Investment",F5:F255)</f>
        <v/>
      </c>
    </row>
    <row r="25" ht="22" customHeight="1">
      <c r="A25" s="14">
        <f>IF(F25&lt;&gt;"",ROW()-4,"")</f>
        <v/>
      </c>
      <c r="B25" s="15" t="n"/>
      <c r="C25" s="4" t="n"/>
      <c r="D25" s="4" t="n"/>
      <c r="E25" s="4" t="n"/>
      <c r="F25" s="16" t="n"/>
      <c r="G25" s="4" t="n"/>
      <c r="H25" s="4" t="n"/>
      <c r="I25" s="4" t="n"/>
      <c r="J25" s="4" t="n"/>
      <c r="L25" s="17" t="inlineStr">
        <is>
          <t>Added to Savings</t>
        </is>
      </c>
      <c r="M25" s="9">
        <f>SUMIF(D5:D255,"Added to Savings",F5:F255)</f>
        <v/>
      </c>
    </row>
    <row r="26" ht="22" customHeight="1">
      <c r="A26" s="18">
        <f>IF(F26&lt;&gt;"",ROW()-4,"")</f>
        <v/>
      </c>
      <c r="B26" s="15" t="n"/>
      <c r="C26" s="4" t="n"/>
      <c r="D26" s="4" t="n"/>
      <c r="E26" s="4" t="n"/>
      <c r="F26" s="16" t="n"/>
      <c r="G26" s="4" t="n"/>
      <c r="H26" s="4" t="n"/>
      <c r="I26" s="4" t="n"/>
      <c r="J26" s="4" t="n"/>
      <c r="L26" s="17" t="inlineStr">
        <is>
          <t>CC Payments</t>
        </is>
      </c>
      <c r="M26" s="9">
        <f>SUMIF(D5:D255,"Credit Card Payment",F5:F255)</f>
        <v/>
      </c>
    </row>
    <row r="27" ht="22" customHeight="1">
      <c r="A27" s="14">
        <f>IF(F27&lt;&gt;"",ROW()-4,"")</f>
        <v/>
      </c>
      <c r="B27" s="15" t="n"/>
      <c r="C27" s="4" t="n"/>
      <c r="D27" s="4" t="n"/>
      <c r="E27" s="4" t="n"/>
      <c r="F27" s="16" t="n"/>
      <c r="G27" s="4" t="n"/>
      <c r="H27" s="4" t="n"/>
      <c r="I27" s="4" t="n"/>
      <c r="J27" s="4" t="n"/>
      <c r="L27" s="17" t="inlineStr">
        <is>
          <t>Miscellaneous</t>
        </is>
      </c>
      <c r="M27" s="9">
        <f>SUMIF(D5:D255,"Miscellaneous",F5:F255)</f>
        <v/>
      </c>
    </row>
    <row r="28">
      <c r="A28" s="18">
        <f>IF(F28&lt;&gt;"",ROW()-4,"")</f>
        <v/>
      </c>
      <c r="B28" s="15" t="n"/>
      <c r="C28" s="4" t="n"/>
      <c r="D28" s="4" t="n"/>
      <c r="E28" s="4" t="n"/>
      <c r="F28" s="16" t="n"/>
      <c r="G28" s="4" t="n"/>
      <c r="H28" s="4" t="n"/>
      <c r="I28" s="4" t="n"/>
      <c r="J28" s="4" t="n"/>
    </row>
    <row r="29">
      <c r="A29" s="14">
        <f>IF(F29&lt;&gt;"",ROW()-4,"")</f>
        <v/>
      </c>
      <c r="B29" s="15" t="n"/>
      <c r="C29" s="4" t="n"/>
      <c r="D29" s="4" t="n"/>
      <c r="E29" s="4" t="n"/>
      <c r="F29" s="16" t="n"/>
      <c r="G29" s="4" t="n"/>
      <c r="H29" s="4" t="n"/>
      <c r="I29" s="4" t="n"/>
      <c r="J29" s="4" t="n"/>
    </row>
    <row r="30">
      <c r="A30" s="18">
        <f>IF(F30&lt;&gt;"",ROW()-4,"")</f>
        <v/>
      </c>
      <c r="B30" s="15" t="n"/>
      <c r="C30" s="4" t="n"/>
      <c r="D30" s="4" t="n"/>
      <c r="E30" s="4" t="n"/>
      <c r="F30" s="16" t="n"/>
      <c r="G30" s="4" t="n"/>
      <c r="H30" s="4" t="n"/>
      <c r="I30" s="4" t="n"/>
      <c r="J30" s="4" t="n"/>
    </row>
    <row r="31">
      <c r="A31" s="14">
        <f>IF(F31&lt;&gt;"",ROW()-4,"")</f>
        <v/>
      </c>
      <c r="B31" s="15" t="n"/>
      <c r="C31" s="4" t="n"/>
      <c r="D31" s="4" t="n"/>
      <c r="E31" s="4" t="n"/>
      <c r="F31" s="16" t="n"/>
      <c r="G31" s="4" t="n"/>
      <c r="H31" s="4" t="n"/>
      <c r="I31" s="4" t="n"/>
      <c r="J31" s="4" t="n"/>
    </row>
    <row r="32">
      <c r="A32" s="18">
        <f>IF(F32&lt;&gt;"",ROW()-4,"")</f>
        <v/>
      </c>
      <c r="B32" s="15" t="n"/>
      <c r="C32" s="4" t="n"/>
      <c r="D32" s="4" t="n"/>
      <c r="E32" s="4" t="n"/>
      <c r="F32" s="16" t="n"/>
      <c r="G32" s="4" t="n"/>
      <c r="H32" s="4" t="n"/>
      <c r="I32" s="4" t="n"/>
      <c r="J32" s="4" t="n"/>
    </row>
    <row r="33">
      <c r="A33" s="14">
        <f>IF(F33&lt;&gt;"",ROW()-4,"")</f>
        <v/>
      </c>
      <c r="B33" s="15" t="n"/>
      <c r="C33" s="4" t="n"/>
      <c r="D33" s="4" t="n"/>
      <c r="E33" s="4" t="n"/>
      <c r="F33" s="16" t="n"/>
      <c r="G33" s="4" t="n"/>
      <c r="H33" s="4" t="n"/>
      <c r="I33" s="4" t="n"/>
      <c r="J33" s="4" t="n"/>
    </row>
    <row r="34">
      <c r="A34" s="18">
        <f>IF(F34&lt;&gt;"",ROW()-4,"")</f>
        <v/>
      </c>
      <c r="B34" s="15" t="n"/>
      <c r="C34" s="4" t="n"/>
      <c r="D34" s="4" t="n"/>
      <c r="E34" s="4" t="n"/>
      <c r="F34" s="16" t="n"/>
      <c r="G34" s="4" t="n"/>
      <c r="H34" s="4" t="n"/>
      <c r="I34" s="4" t="n"/>
      <c r="J34" s="4" t="n"/>
    </row>
    <row r="35">
      <c r="A35" s="14">
        <f>IF(F35&lt;&gt;"",ROW()-4,"")</f>
        <v/>
      </c>
      <c r="B35" s="15" t="n"/>
      <c r="C35" s="4" t="n"/>
      <c r="D35" s="4" t="n"/>
      <c r="E35" s="4" t="n"/>
      <c r="F35" s="16" t="n"/>
      <c r="G35" s="4" t="n"/>
      <c r="H35" s="4" t="n"/>
      <c r="I35" s="4" t="n"/>
      <c r="J35" s="4" t="n"/>
    </row>
    <row r="36">
      <c r="A36" s="18">
        <f>IF(F36&lt;&gt;"",ROW()-4,"")</f>
        <v/>
      </c>
      <c r="B36" s="15" t="n"/>
      <c r="C36" s="4" t="n"/>
      <c r="D36" s="4" t="n"/>
      <c r="E36" s="4" t="n"/>
      <c r="F36" s="16" t="n"/>
      <c r="G36" s="4" t="n"/>
      <c r="H36" s="4" t="n"/>
      <c r="I36" s="4" t="n"/>
      <c r="J36" s="4" t="n"/>
    </row>
    <row r="37">
      <c r="A37" s="14">
        <f>IF(F37&lt;&gt;"",ROW()-4,"")</f>
        <v/>
      </c>
      <c r="B37" s="15" t="n"/>
      <c r="C37" s="4" t="n"/>
      <c r="D37" s="4" t="n"/>
      <c r="E37" s="4" t="n"/>
      <c r="F37" s="16" t="n"/>
      <c r="G37" s="4" t="n"/>
      <c r="H37" s="4" t="n"/>
      <c r="I37" s="4" t="n"/>
      <c r="J37" s="4" t="n"/>
    </row>
    <row r="38">
      <c r="A38" s="18">
        <f>IF(F38&lt;&gt;"",ROW()-4,"")</f>
        <v/>
      </c>
      <c r="B38" s="15" t="n"/>
      <c r="C38" s="4" t="n"/>
      <c r="D38" s="4" t="n"/>
      <c r="E38" s="4" t="n"/>
      <c r="F38" s="16" t="n"/>
      <c r="G38" s="4" t="n"/>
      <c r="H38" s="4" t="n"/>
      <c r="I38" s="4" t="n"/>
      <c r="J38" s="4" t="n"/>
    </row>
    <row r="39">
      <c r="A39" s="14">
        <f>IF(F39&lt;&gt;"",ROW()-4,"")</f>
        <v/>
      </c>
      <c r="B39" s="15" t="n"/>
      <c r="C39" s="4" t="n"/>
      <c r="D39" s="4" t="n"/>
      <c r="E39" s="4" t="n"/>
      <c r="F39" s="16" t="n"/>
      <c r="G39" s="4" t="n"/>
      <c r="H39" s="4" t="n"/>
      <c r="I39" s="4" t="n"/>
      <c r="J39" s="4" t="n"/>
    </row>
    <row r="40">
      <c r="A40" s="18">
        <f>IF(F40&lt;&gt;"",ROW()-4,"")</f>
        <v/>
      </c>
      <c r="B40" s="15" t="n"/>
      <c r="C40" s="4" t="n"/>
      <c r="D40" s="4" t="n"/>
      <c r="E40" s="4" t="n"/>
      <c r="F40" s="16" t="n"/>
      <c r="G40" s="4" t="n"/>
      <c r="H40" s="4" t="n"/>
      <c r="I40" s="4" t="n"/>
      <c r="J40" s="4" t="n"/>
    </row>
    <row r="41">
      <c r="A41" s="14">
        <f>IF(F41&lt;&gt;"",ROW()-4,"")</f>
        <v/>
      </c>
      <c r="B41" s="15" t="n"/>
      <c r="C41" s="4" t="n"/>
      <c r="D41" s="4" t="n"/>
      <c r="E41" s="4" t="n"/>
      <c r="F41" s="16" t="n"/>
      <c r="G41" s="4" t="n"/>
      <c r="H41" s="4" t="n"/>
      <c r="I41" s="4" t="n"/>
      <c r="J41" s="4" t="n"/>
    </row>
    <row r="42">
      <c r="A42" s="18">
        <f>IF(F42&lt;&gt;"",ROW()-4,"")</f>
        <v/>
      </c>
      <c r="B42" s="15" t="n"/>
      <c r="C42" s="4" t="n"/>
      <c r="D42" s="4" t="n"/>
      <c r="E42" s="4" t="n"/>
      <c r="F42" s="16" t="n"/>
      <c r="G42" s="4" t="n"/>
      <c r="H42" s="4" t="n"/>
      <c r="I42" s="4" t="n"/>
      <c r="J42" s="4" t="n"/>
    </row>
    <row r="43">
      <c r="A43" s="14">
        <f>IF(F43&lt;&gt;"",ROW()-4,"")</f>
        <v/>
      </c>
      <c r="B43" s="15" t="n"/>
      <c r="C43" s="4" t="n"/>
      <c r="D43" s="4" t="n"/>
      <c r="E43" s="4" t="n"/>
      <c r="F43" s="16" t="n"/>
      <c r="G43" s="4" t="n"/>
      <c r="H43" s="4" t="n"/>
      <c r="I43" s="4" t="n"/>
      <c r="J43" s="4" t="n"/>
    </row>
    <row r="44">
      <c r="A44" s="18">
        <f>IF(F44&lt;&gt;"",ROW()-4,"")</f>
        <v/>
      </c>
      <c r="B44" s="15" t="n"/>
      <c r="C44" s="4" t="n"/>
      <c r="D44" s="4" t="n"/>
      <c r="E44" s="4" t="n"/>
      <c r="F44" s="16" t="n"/>
      <c r="G44" s="4" t="n"/>
      <c r="H44" s="4" t="n"/>
      <c r="I44" s="4" t="n"/>
      <c r="J44" s="4" t="n"/>
    </row>
    <row r="45">
      <c r="A45" s="14">
        <f>IF(F45&lt;&gt;"",ROW()-4,"")</f>
        <v/>
      </c>
      <c r="B45" s="15" t="n"/>
      <c r="C45" s="4" t="n"/>
      <c r="D45" s="4" t="n"/>
      <c r="E45" s="4" t="n"/>
      <c r="F45" s="16" t="n"/>
      <c r="G45" s="4" t="n"/>
      <c r="H45" s="4" t="n"/>
      <c r="I45" s="4" t="n"/>
      <c r="J45" s="4" t="n"/>
    </row>
    <row r="46">
      <c r="A46" s="18">
        <f>IF(F46&lt;&gt;"",ROW()-4,"")</f>
        <v/>
      </c>
      <c r="B46" s="15" t="n"/>
      <c r="C46" s="4" t="n"/>
      <c r="D46" s="4" t="n"/>
      <c r="E46" s="4" t="n"/>
      <c r="F46" s="16" t="n"/>
      <c r="G46" s="4" t="n"/>
      <c r="H46" s="4" t="n"/>
      <c r="I46" s="4" t="n"/>
      <c r="J46" s="4" t="n"/>
    </row>
    <row r="47">
      <c r="A47" s="14">
        <f>IF(F47&lt;&gt;"",ROW()-4,"")</f>
        <v/>
      </c>
      <c r="B47" s="15" t="n"/>
      <c r="C47" s="4" t="n"/>
      <c r="D47" s="4" t="n"/>
      <c r="E47" s="4" t="n"/>
      <c r="F47" s="16" t="n"/>
      <c r="G47" s="4" t="n"/>
      <c r="H47" s="4" t="n"/>
      <c r="I47" s="4" t="n"/>
      <c r="J47" s="4" t="n"/>
    </row>
    <row r="48">
      <c r="A48" s="18">
        <f>IF(F48&lt;&gt;"",ROW()-4,"")</f>
        <v/>
      </c>
      <c r="B48" s="15" t="n"/>
      <c r="C48" s="4" t="n"/>
      <c r="D48" s="4" t="n"/>
      <c r="E48" s="4" t="n"/>
      <c r="F48" s="16" t="n"/>
      <c r="G48" s="4" t="n"/>
      <c r="H48" s="4" t="n"/>
      <c r="I48" s="4" t="n"/>
      <c r="J48" s="4" t="n"/>
    </row>
    <row r="49">
      <c r="A49" s="14">
        <f>IF(F49&lt;&gt;"",ROW()-4,"")</f>
        <v/>
      </c>
      <c r="B49" s="15" t="n"/>
      <c r="C49" s="4" t="n"/>
      <c r="D49" s="4" t="n"/>
      <c r="E49" s="4" t="n"/>
      <c r="F49" s="16" t="n"/>
      <c r="G49" s="4" t="n"/>
      <c r="H49" s="4" t="n"/>
      <c r="I49" s="4" t="n"/>
      <c r="J49" s="4" t="n"/>
    </row>
    <row r="50">
      <c r="A50" s="18">
        <f>IF(F50&lt;&gt;"",ROW()-4,"")</f>
        <v/>
      </c>
      <c r="B50" s="15" t="n"/>
      <c r="C50" s="4" t="n"/>
      <c r="D50" s="4" t="n"/>
      <c r="E50" s="4" t="n"/>
      <c r="F50" s="16" t="n"/>
      <c r="G50" s="4" t="n"/>
      <c r="H50" s="4" t="n"/>
      <c r="I50" s="4" t="n"/>
      <c r="J50" s="4" t="n"/>
    </row>
    <row r="51">
      <c r="A51" s="14">
        <f>IF(F51&lt;&gt;"",ROW()-4,"")</f>
        <v/>
      </c>
      <c r="B51" s="15" t="n"/>
      <c r="C51" s="4" t="n"/>
      <c r="D51" s="4" t="n"/>
      <c r="E51" s="4" t="n"/>
      <c r="F51" s="16" t="n"/>
      <c r="G51" s="4" t="n"/>
      <c r="H51" s="4" t="n"/>
      <c r="I51" s="4" t="n"/>
      <c r="J51" s="4" t="n"/>
    </row>
    <row r="52">
      <c r="A52" s="18">
        <f>IF(F52&lt;&gt;"",ROW()-4,"")</f>
        <v/>
      </c>
      <c r="B52" s="15" t="n"/>
      <c r="C52" s="4" t="n"/>
      <c r="D52" s="4" t="n"/>
      <c r="E52" s="4" t="n"/>
      <c r="F52" s="16" t="n"/>
      <c r="G52" s="4" t="n"/>
      <c r="H52" s="4" t="n"/>
      <c r="I52" s="4" t="n"/>
      <c r="J52" s="4" t="n"/>
    </row>
    <row r="53">
      <c r="A53" s="14">
        <f>IF(F53&lt;&gt;"",ROW()-4,"")</f>
        <v/>
      </c>
      <c r="B53" s="15" t="n"/>
      <c r="C53" s="4" t="n"/>
      <c r="D53" s="4" t="n"/>
      <c r="E53" s="4" t="n"/>
      <c r="F53" s="16" t="n"/>
      <c r="G53" s="4" t="n"/>
      <c r="H53" s="4" t="n"/>
      <c r="I53" s="4" t="n"/>
      <c r="J53" s="4" t="n"/>
    </row>
    <row r="54">
      <c r="A54" s="18">
        <f>IF(F54&lt;&gt;"",ROW()-4,"")</f>
        <v/>
      </c>
      <c r="B54" s="15" t="n"/>
      <c r="C54" s="4" t="n"/>
      <c r="D54" s="4" t="n"/>
      <c r="E54" s="4" t="n"/>
      <c r="F54" s="16" t="n"/>
      <c r="G54" s="4" t="n"/>
      <c r="H54" s="4" t="n"/>
      <c r="I54" s="4" t="n"/>
      <c r="J54" s="4" t="n"/>
    </row>
    <row r="55">
      <c r="A55" s="14">
        <f>IF(F55&lt;&gt;"",ROW()-4,"")</f>
        <v/>
      </c>
      <c r="B55" s="15" t="n"/>
      <c r="C55" s="4" t="n"/>
      <c r="D55" s="4" t="n"/>
      <c r="E55" s="4" t="n"/>
      <c r="F55" s="16" t="n"/>
      <c r="G55" s="4" t="n"/>
      <c r="H55" s="4" t="n"/>
      <c r="I55" s="4" t="n"/>
      <c r="J55" s="4" t="n"/>
    </row>
    <row r="56">
      <c r="A56" s="18">
        <f>IF(F56&lt;&gt;"",ROW()-4,"")</f>
        <v/>
      </c>
      <c r="B56" s="15" t="n"/>
      <c r="C56" s="4" t="n"/>
      <c r="D56" s="4" t="n"/>
      <c r="E56" s="4" t="n"/>
      <c r="F56" s="16" t="n"/>
      <c r="G56" s="4" t="n"/>
      <c r="H56" s="4" t="n"/>
      <c r="I56" s="4" t="n"/>
      <c r="J56" s="4" t="n"/>
    </row>
    <row r="57">
      <c r="A57" s="14">
        <f>IF(F57&lt;&gt;"",ROW()-4,"")</f>
        <v/>
      </c>
      <c r="B57" s="15" t="n"/>
      <c r="C57" s="4" t="n"/>
      <c r="D57" s="4" t="n"/>
      <c r="E57" s="4" t="n"/>
      <c r="F57" s="16" t="n"/>
      <c r="G57" s="4" t="n"/>
      <c r="H57" s="4" t="n"/>
      <c r="I57" s="4" t="n"/>
      <c r="J57" s="4" t="n"/>
    </row>
    <row r="58">
      <c r="A58" s="18">
        <f>IF(F58&lt;&gt;"",ROW()-4,"")</f>
        <v/>
      </c>
      <c r="B58" s="15" t="n"/>
      <c r="C58" s="4" t="n"/>
      <c r="D58" s="4" t="n"/>
      <c r="E58" s="4" t="n"/>
      <c r="F58" s="16" t="n"/>
      <c r="G58" s="4" t="n"/>
      <c r="H58" s="4" t="n"/>
      <c r="I58" s="4" t="n"/>
      <c r="J58" s="4" t="n"/>
    </row>
    <row r="59">
      <c r="A59" s="14">
        <f>IF(F59&lt;&gt;"",ROW()-4,"")</f>
        <v/>
      </c>
      <c r="B59" s="15" t="n"/>
      <c r="C59" s="4" t="n"/>
      <c r="D59" s="4" t="n"/>
      <c r="E59" s="4" t="n"/>
      <c r="F59" s="16" t="n"/>
      <c r="G59" s="4" t="n"/>
      <c r="H59" s="4" t="n"/>
      <c r="I59" s="4" t="n"/>
      <c r="J59" s="4" t="n"/>
    </row>
    <row r="60">
      <c r="A60" s="18">
        <f>IF(F60&lt;&gt;"",ROW()-4,"")</f>
        <v/>
      </c>
      <c r="B60" s="15" t="n"/>
      <c r="C60" s="4" t="n"/>
      <c r="D60" s="4" t="n"/>
      <c r="E60" s="4" t="n"/>
      <c r="F60" s="16" t="n"/>
      <c r="G60" s="4" t="n"/>
      <c r="H60" s="4" t="n"/>
      <c r="I60" s="4" t="n"/>
      <c r="J60" s="4" t="n"/>
    </row>
    <row r="61">
      <c r="A61" s="14">
        <f>IF(F61&lt;&gt;"",ROW()-4,"")</f>
        <v/>
      </c>
      <c r="B61" s="15" t="n"/>
      <c r="C61" s="4" t="n"/>
      <c r="D61" s="4" t="n"/>
      <c r="E61" s="4" t="n"/>
      <c r="F61" s="16" t="n"/>
      <c r="G61" s="4" t="n"/>
      <c r="H61" s="4" t="n"/>
      <c r="I61" s="4" t="n"/>
      <c r="J61" s="4" t="n"/>
    </row>
    <row r="62">
      <c r="A62" s="18">
        <f>IF(F62&lt;&gt;"",ROW()-4,"")</f>
        <v/>
      </c>
      <c r="B62" s="15" t="n"/>
      <c r="C62" s="4" t="n"/>
      <c r="D62" s="4" t="n"/>
      <c r="E62" s="4" t="n"/>
      <c r="F62" s="16" t="n"/>
      <c r="G62" s="4" t="n"/>
      <c r="H62" s="4" t="n"/>
      <c r="I62" s="4" t="n"/>
      <c r="J62" s="4" t="n"/>
    </row>
    <row r="63">
      <c r="A63" s="14">
        <f>IF(F63&lt;&gt;"",ROW()-4,"")</f>
        <v/>
      </c>
      <c r="B63" s="15" t="n"/>
      <c r="C63" s="4" t="n"/>
      <c r="D63" s="4" t="n"/>
      <c r="E63" s="4" t="n"/>
      <c r="F63" s="16" t="n"/>
      <c r="G63" s="4" t="n"/>
      <c r="H63" s="4" t="n"/>
      <c r="I63" s="4" t="n"/>
      <c r="J63" s="4" t="n"/>
    </row>
    <row r="64">
      <c r="A64" s="18">
        <f>IF(F64&lt;&gt;"",ROW()-4,"")</f>
        <v/>
      </c>
      <c r="B64" s="15" t="n"/>
      <c r="C64" s="4" t="n"/>
      <c r="D64" s="4" t="n"/>
      <c r="E64" s="4" t="n"/>
      <c r="F64" s="16" t="n"/>
      <c r="G64" s="4" t="n"/>
      <c r="H64" s="4" t="n"/>
      <c r="I64" s="4" t="n"/>
      <c r="J64" s="4" t="n"/>
    </row>
    <row r="65">
      <c r="A65" s="14">
        <f>IF(F65&lt;&gt;"",ROW()-4,"")</f>
        <v/>
      </c>
      <c r="B65" s="15" t="n"/>
      <c r="C65" s="4" t="n"/>
      <c r="D65" s="4" t="n"/>
      <c r="E65" s="4" t="n"/>
      <c r="F65" s="16" t="n"/>
      <c r="G65" s="4" t="n"/>
      <c r="H65" s="4" t="n"/>
      <c r="I65" s="4" t="n"/>
      <c r="J65" s="4" t="n"/>
    </row>
    <row r="66">
      <c r="A66" s="18">
        <f>IF(F66&lt;&gt;"",ROW()-4,"")</f>
        <v/>
      </c>
      <c r="B66" s="15" t="n"/>
      <c r="C66" s="4" t="n"/>
      <c r="D66" s="4" t="n"/>
      <c r="E66" s="4" t="n"/>
      <c r="F66" s="16" t="n"/>
      <c r="G66" s="4" t="n"/>
      <c r="H66" s="4" t="n"/>
      <c r="I66" s="4" t="n"/>
      <c r="J66" s="4" t="n"/>
    </row>
    <row r="67">
      <c r="A67" s="14">
        <f>IF(F67&lt;&gt;"",ROW()-4,"")</f>
        <v/>
      </c>
      <c r="B67" s="15" t="n"/>
      <c r="C67" s="4" t="n"/>
      <c r="D67" s="4" t="n"/>
      <c r="E67" s="4" t="n"/>
      <c r="F67" s="16" t="n"/>
      <c r="G67" s="4" t="n"/>
      <c r="H67" s="4" t="n"/>
      <c r="I67" s="4" t="n"/>
      <c r="J67" s="4" t="n"/>
    </row>
    <row r="68">
      <c r="A68" s="18">
        <f>IF(F68&lt;&gt;"",ROW()-4,"")</f>
        <v/>
      </c>
      <c r="B68" s="15" t="n"/>
      <c r="C68" s="4" t="n"/>
      <c r="D68" s="4" t="n"/>
      <c r="E68" s="4" t="n"/>
      <c r="F68" s="16" t="n"/>
      <c r="G68" s="4" t="n"/>
      <c r="H68" s="4" t="n"/>
      <c r="I68" s="4" t="n"/>
      <c r="J68" s="4" t="n"/>
    </row>
    <row r="69">
      <c r="A69" s="14">
        <f>IF(F69&lt;&gt;"",ROW()-4,"")</f>
        <v/>
      </c>
      <c r="B69" s="15" t="n"/>
      <c r="C69" s="4" t="n"/>
      <c r="D69" s="4" t="n"/>
      <c r="E69" s="4" t="n"/>
      <c r="F69" s="16" t="n"/>
      <c r="G69" s="4" t="n"/>
      <c r="H69" s="4" t="n"/>
      <c r="I69" s="4" t="n"/>
      <c r="J69" s="4" t="n"/>
    </row>
    <row r="70">
      <c r="A70" s="18">
        <f>IF(F70&lt;&gt;"",ROW()-4,"")</f>
        <v/>
      </c>
      <c r="B70" s="15" t="n"/>
      <c r="C70" s="4" t="n"/>
      <c r="D70" s="4" t="n"/>
      <c r="E70" s="4" t="n"/>
      <c r="F70" s="16" t="n"/>
      <c r="G70" s="4" t="n"/>
      <c r="H70" s="4" t="n"/>
      <c r="I70" s="4" t="n"/>
      <c r="J70" s="4" t="n"/>
    </row>
    <row r="71">
      <c r="A71" s="14">
        <f>IF(F71&lt;&gt;"",ROW()-4,"")</f>
        <v/>
      </c>
      <c r="B71" s="15" t="n"/>
      <c r="C71" s="4" t="n"/>
      <c r="D71" s="4" t="n"/>
      <c r="E71" s="4" t="n"/>
      <c r="F71" s="16" t="n"/>
      <c r="G71" s="4" t="n"/>
      <c r="H71" s="4" t="n"/>
      <c r="I71" s="4" t="n"/>
      <c r="J71" s="4" t="n"/>
    </row>
    <row r="72">
      <c r="A72" s="18">
        <f>IF(F72&lt;&gt;"",ROW()-4,"")</f>
        <v/>
      </c>
      <c r="B72" s="15" t="n"/>
      <c r="C72" s="4" t="n"/>
      <c r="D72" s="4" t="n"/>
      <c r="E72" s="4" t="n"/>
      <c r="F72" s="16" t="n"/>
      <c r="G72" s="4" t="n"/>
      <c r="H72" s="4" t="n"/>
      <c r="I72" s="4" t="n"/>
      <c r="J72" s="4" t="n"/>
    </row>
    <row r="73">
      <c r="A73" s="14">
        <f>IF(F73&lt;&gt;"",ROW()-4,"")</f>
        <v/>
      </c>
      <c r="B73" s="15" t="n"/>
      <c r="C73" s="4" t="n"/>
      <c r="D73" s="4" t="n"/>
      <c r="E73" s="4" t="n"/>
      <c r="F73" s="16" t="n"/>
      <c r="G73" s="4" t="n"/>
      <c r="H73" s="4" t="n"/>
      <c r="I73" s="4" t="n"/>
      <c r="J73" s="4" t="n"/>
    </row>
    <row r="74">
      <c r="A74" s="18">
        <f>IF(F74&lt;&gt;"",ROW()-4,"")</f>
        <v/>
      </c>
      <c r="B74" s="15" t="n"/>
      <c r="C74" s="4" t="n"/>
      <c r="D74" s="4" t="n"/>
      <c r="E74" s="4" t="n"/>
      <c r="F74" s="16" t="n"/>
      <c r="G74" s="4" t="n"/>
      <c r="H74" s="4" t="n"/>
      <c r="I74" s="4" t="n"/>
      <c r="J74" s="4" t="n"/>
    </row>
    <row r="75">
      <c r="A75" s="14">
        <f>IF(F75&lt;&gt;"",ROW()-4,"")</f>
        <v/>
      </c>
      <c r="B75" s="15" t="n"/>
      <c r="C75" s="4" t="n"/>
      <c r="D75" s="4" t="n"/>
      <c r="E75" s="4" t="n"/>
      <c r="F75" s="16" t="n"/>
      <c r="G75" s="4" t="n"/>
      <c r="H75" s="4" t="n"/>
      <c r="I75" s="4" t="n"/>
      <c r="J75" s="4" t="n"/>
    </row>
    <row r="76">
      <c r="A76" s="18">
        <f>IF(F76&lt;&gt;"",ROW()-4,"")</f>
        <v/>
      </c>
      <c r="B76" s="15" t="n"/>
      <c r="C76" s="4" t="n"/>
      <c r="D76" s="4" t="n"/>
      <c r="E76" s="4" t="n"/>
      <c r="F76" s="16" t="n"/>
      <c r="G76" s="4" t="n"/>
      <c r="H76" s="4" t="n"/>
      <c r="I76" s="4" t="n"/>
      <c r="J76" s="4" t="n"/>
    </row>
    <row r="77">
      <c r="A77" s="14">
        <f>IF(F77&lt;&gt;"",ROW()-4,"")</f>
        <v/>
      </c>
      <c r="B77" s="15" t="n"/>
      <c r="C77" s="4" t="n"/>
      <c r="D77" s="4" t="n"/>
      <c r="E77" s="4" t="n"/>
      <c r="F77" s="16" t="n"/>
      <c r="G77" s="4" t="n"/>
      <c r="H77" s="4" t="n"/>
      <c r="I77" s="4" t="n"/>
      <c r="J77" s="4" t="n"/>
    </row>
    <row r="78">
      <c r="A78" s="18">
        <f>IF(F78&lt;&gt;"",ROW()-4,"")</f>
        <v/>
      </c>
      <c r="B78" s="15" t="n"/>
      <c r="C78" s="4" t="n"/>
      <c r="D78" s="4" t="n"/>
      <c r="E78" s="4" t="n"/>
      <c r="F78" s="16" t="n"/>
      <c r="G78" s="4" t="n"/>
      <c r="H78" s="4" t="n"/>
      <c r="I78" s="4" t="n"/>
      <c r="J78" s="4" t="n"/>
    </row>
    <row r="79">
      <c r="A79" s="14">
        <f>IF(F79&lt;&gt;"",ROW()-4,"")</f>
        <v/>
      </c>
      <c r="B79" s="15" t="n"/>
      <c r="C79" s="4" t="n"/>
      <c r="D79" s="4" t="n"/>
      <c r="E79" s="4" t="n"/>
      <c r="F79" s="16" t="n"/>
      <c r="G79" s="4" t="n"/>
      <c r="H79" s="4" t="n"/>
      <c r="I79" s="4" t="n"/>
      <c r="J79" s="4" t="n"/>
    </row>
    <row r="80">
      <c r="A80" s="18">
        <f>IF(F80&lt;&gt;"",ROW()-4,"")</f>
        <v/>
      </c>
      <c r="B80" s="15" t="n"/>
      <c r="C80" s="4" t="n"/>
      <c r="D80" s="4" t="n"/>
      <c r="E80" s="4" t="n"/>
      <c r="F80" s="16" t="n"/>
      <c r="G80" s="4" t="n"/>
      <c r="H80" s="4" t="n"/>
      <c r="I80" s="4" t="n"/>
      <c r="J80" s="4" t="n"/>
    </row>
    <row r="81">
      <c r="A81" s="14">
        <f>IF(F81&lt;&gt;"",ROW()-4,"")</f>
        <v/>
      </c>
      <c r="B81" s="15" t="n"/>
      <c r="C81" s="4" t="n"/>
      <c r="D81" s="4" t="n"/>
      <c r="E81" s="4" t="n"/>
      <c r="F81" s="16" t="n"/>
      <c r="G81" s="4" t="n"/>
      <c r="H81" s="4" t="n"/>
      <c r="I81" s="4" t="n"/>
      <c r="J81" s="4" t="n"/>
    </row>
    <row r="82">
      <c r="A82" s="18">
        <f>IF(F82&lt;&gt;"",ROW()-4,"")</f>
        <v/>
      </c>
      <c r="B82" s="15" t="n"/>
      <c r="C82" s="4" t="n"/>
      <c r="D82" s="4" t="n"/>
      <c r="E82" s="4" t="n"/>
      <c r="F82" s="16" t="n"/>
      <c r="G82" s="4" t="n"/>
      <c r="H82" s="4" t="n"/>
      <c r="I82" s="4" t="n"/>
      <c r="J82" s="4" t="n"/>
    </row>
    <row r="83">
      <c r="A83" s="14">
        <f>IF(F83&lt;&gt;"",ROW()-4,"")</f>
        <v/>
      </c>
      <c r="B83" s="15" t="n"/>
      <c r="C83" s="4" t="n"/>
      <c r="D83" s="4" t="n"/>
      <c r="E83" s="4" t="n"/>
      <c r="F83" s="16" t="n"/>
      <c r="G83" s="4" t="n"/>
      <c r="H83" s="4" t="n"/>
      <c r="I83" s="4" t="n"/>
      <c r="J83" s="4" t="n"/>
    </row>
    <row r="84">
      <c r="A84" s="18">
        <f>IF(F84&lt;&gt;"",ROW()-4,"")</f>
        <v/>
      </c>
      <c r="B84" s="15" t="n"/>
      <c r="C84" s="4" t="n"/>
      <c r="D84" s="4" t="n"/>
      <c r="E84" s="4" t="n"/>
      <c r="F84" s="16" t="n"/>
      <c r="G84" s="4" t="n"/>
      <c r="H84" s="4" t="n"/>
      <c r="I84" s="4" t="n"/>
      <c r="J84" s="4" t="n"/>
    </row>
    <row r="85">
      <c r="A85" s="14">
        <f>IF(F85&lt;&gt;"",ROW()-4,"")</f>
        <v/>
      </c>
      <c r="B85" s="15" t="n"/>
      <c r="C85" s="4" t="n"/>
      <c r="D85" s="4" t="n"/>
      <c r="E85" s="4" t="n"/>
      <c r="F85" s="16" t="n"/>
      <c r="G85" s="4" t="n"/>
      <c r="H85" s="4" t="n"/>
      <c r="I85" s="4" t="n"/>
      <c r="J85" s="4" t="n"/>
    </row>
    <row r="86">
      <c r="A86" s="18">
        <f>IF(F86&lt;&gt;"",ROW()-4,"")</f>
        <v/>
      </c>
      <c r="B86" s="15" t="n"/>
      <c r="C86" s="4" t="n"/>
      <c r="D86" s="4" t="n"/>
      <c r="E86" s="4" t="n"/>
      <c r="F86" s="16" t="n"/>
      <c r="G86" s="4" t="n"/>
      <c r="H86" s="4" t="n"/>
      <c r="I86" s="4" t="n"/>
      <c r="J86" s="4" t="n"/>
    </row>
    <row r="87">
      <c r="A87" s="14">
        <f>IF(F87&lt;&gt;"",ROW()-4,"")</f>
        <v/>
      </c>
      <c r="B87" s="15" t="n"/>
      <c r="C87" s="4" t="n"/>
      <c r="D87" s="4" t="n"/>
      <c r="E87" s="4" t="n"/>
      <c r="F87" s="16" t="n"/>
      <c r="G87" s="4" t="n"/>
      <c r="H87" s="4" t="n"/>
      <c r="I87" s="4" t="n"/>
      <c r="J87" s="4" t="n"/>
    </row>
    <row r="88">
      <c r="A88" s="18">
        <f>IF(F88&lt;&gt;"",ROW()-4,"")</f>
        <v/>
      </c>
      <c r="B88" s="15" t="n"/>
      <c r="C88" s="4" t="n"/>
      <c r="D88" s="4" t="n"/>
      <c r="E88" s="4" t="n"/>
      <c r="F88" s="16" t="n"/>
      <c r="G88" s="4" t="n"/>
      <c r="H88" s="4" t="n"/>
      <c r="I88" s="4" t="n"/>
      <c r="J88" s="4" t="n"/>
    </row>
    <row r="89">
      <c r="A89" s="14">
        <f>IF(F89&lt;&gt;"",ROW()-4,"")</f>
        <v/>
      </c>
      <c r="B89" s="15" t="n"/>
      <c r="C89" s="4" t="n"/>
      <c r="D89" s="4" t="n"/>
      <c r="E89" s="4" t="n"/>
      <c r="F89" s="16" t="n"/>
      <c r="G89" s="4" t="n"/>
      <c r="H89" s="4" t="n"/>
      <c r="I89" s="4" t="n"/>
      <c r="J89" s="4" t="n"/>
    </row>
    <row r="90">
      <c r="A90" s="18">
        <f>IF(F90&lt;&gt;"",ROW()-4,"")</f>
        <v/>
      </c>
      <c r="B90" s="15" t="n"/>
      <c r="C90" s="4" t="n"/>
      <c r="D90" s="4" t="n"/>
      <c r="E90" s="4" t="n"/>
      <c r="F90" s="16" t="n"/>
      <c r="G90" s="4" t="n"/>
      <c r="H90" s="4" t="n"/>
      <c r="I90" s="4" t="n"/>
      <c r="J90" s="4" t="n"/>
    </row>
    <row r="91">
      <c r="A91" s="14">
        <f>IF(F91&lt;&gt;"",ROW()-4,"")</f>
        <v/>
      </c>
      <c r="B91" s="15" t="n"/>
      <c r="C91" s="4" t="n"/>
      <c r="D91" s="4" t="n"/>
      <c r="E91" s="4" t="n"/>
      <c r="F91" s="16" t="n"/>
      <c r="G91" s="4" t="n"/>
      <c r="H91" s="4" t="n"/>
      <c r="I91" s="4" t="n"/>
      <c r="J91" s="4" t="n"/>
    </row>
    <row r="92">
      <c r="A92" s="18">
        <f>IF(F92&lt;&gt;"",ROW()-4,"")</f>
        <v/>
      </c>
      <c r="B92" s="15" t="n"/>
      <c r="C92" s="4" t="n"/>
      <c r="D92" s="4" t="n"/>
      <c r="E92" s="4" t="n"/>
      <c r="F92" s="16" t="n"/>
      <c r="G92" s="4" t="n"/>
      <c r="H92" s="4" t="n"/>
      <c r="I92" s="4" t="n"/>
      <c r="J92" s="4" t="n"/>
    </row>
    <row r="93">
      <c r="A93" s="14">
        <f>IF(F93&lt;&gt;"",ROW()-4,"")</f>
        <v/>
      </c>
      <c r="B93" s="15" t="n"/>
      <c r="C93" s="4" t="n"/>
      <c r="D93" s="4" t="n"/>
      <c r="E93" s="4" t="n"/>
      <c r="F93" s="16" t="n"/>
      <c r="G93" s="4" t="n"/>
      <c r="H93" s="4" t="n"/>
      <c r="I93" s="4" t="n"/>
      <c r="J93" s="4" t="n"/>
    </row>
    <row r="94">
      <c r="A94" s="18">
        <f>IF(F94&lt;&gt;"",ROW()-4,"")</f>
        <v/>
      </c>
      <c r="B94" s="15" t="n"/>
      <c r="C94" s="4" t="n"/>
      <c r="D94" s="4" t="n"/>
      <c r="E94" s="4" t="n"/>
      <c r="F94" s="16" t="n"/>
      <c r="G94" s="4" t="n"/>
      <c r="H94" s="4" t="n"/>
      <c r="I94" s="4" t="n"/>
      <c r="J94" s="4" t="n"/>
    </row>
    <row r="95">
      <c r="A95" s="14">
        <f>IF(F95&lt;&gt;"",ROW()-4,"")</f>
        <v/>
      </c>
      <c r="B95" s="15" t="n"/>
      <c r="C95" s="4" t="n"/>
      <c r="D95" s="4" t="n"/>
      <c r="E95" s="4" t="n"/>
      <c r="F95" s="16" t="n"/>
      <c r="G95" s="4" t="n"/>
      <c r="H95" s="4" t="n"/>
      <c r="I95" s="4" t="n"/>
      <c r="J95" s="4" t="n"/>
    </row>
    <row r="96">
      <c r="A96" s="18">
        <f>IF(F96&lt;&gt;"",ROW()-4,"")</f>
        <v/>
      </c>
      <c r="B96" s="15" t="n"/>
      <c r="C96" s="4" t="n"/>
      <c r="D96" s="4" t="n"/>
      <c r="E96" s="4" t="n"/>
      <c r="F96" s="16" t="n"/>
      <c r="G96" s="4" t="n"/>
      <c r="H96" s="4" t="n"/>
      <c r="I96" s="4" t="n"/>
      <c r="J96" s="4" t="n"/>
    </row>
    <row r="97">
      <c r="A97" s="14">
        <f>IF(F97&lt;&gt;"",ROW()-4,"")</f>
        <v/>
      </c>
      <c r="B97" s="15" t="n"/>
      <c r="C97" s="4" t="n"/>
      <c r="D97" s="4" t="n"/>
      <c r="E97" s="4" t="n"/>
      <c r="F97" s="16" t="n"/>
      <c r="G97" s="4" t="n"/>
      <c r="H97" s="4" t="n"/>
      <c r="I97" s="4" t="n"/>
      <c r="J97" s="4" t="n"/>
    </row>
    <row r="98">
      <c r="A98" s="18">
        <f>IF(F98&lt;&gt;"",ROW()-4,"")</f>
        <v/>
      </c>
      <c r="B98" s="15" t="n"/>
      <c r="C98" s="4" t="n"/>
      <c r="D98" s="4" t="n"/>
      <c r="E98" s="4" t="n"/>
      <c r="F98" s="16" t="n"/>
      <c r="G98" s="4" t="n"/>
      <c r="H98" s="4" t="n"/>
      <c r="I98" s="4" t="n"/>
      <c r="J98" s="4" t="n"/>
    </row>
    <row r="99">
      <c r="A99" s="14">
        <f>IF(F99&lt;&gt;"",ROW()-4,"")</f>
        <v/>
      </c>
      <c r="B99" s="15" t="n"/>
      <c r="C99" s="4" t="n"/>
      <c r="D99" s="4" t="n"/>
      <c r="E99" s="4" t="n"/>
      <c r="F99" s="16" t="n"/>
      <c r="G99" s="4" t="n"/>
      <c r="H99" s="4" t="n"/>
      <c r="I99" s="4" t="n"/>
      <c r="J99" s="4" t="n"/>
    </row>
    <row r="100">
      <c r="A100" s="18">
        <f>IF(F100&lt;&gt;"",ROW()-4,"")</f>
        <v/>
      </c>
      <c r="B100" s="15" t="n"/>
      <c r="C100" s="4" t="n"/>
      <c r="D100" s="4" t="n"/>
      <c r="E100" s="4" t="n"/>
      <c r="F100" s="16" t="n"/>
      <c r="G100" s="4" t="n"/>
      <c r="H100" s="4" t="n"/>
      <c r="I100" s="4" t="n"/>
      <c r="J100" s="4" t="n"/>
    </row>
    <row r="101">
      <c r="A101" s="14">
        <f>IF(F101&lt;&gt;"",ROW()-4,"")</f>
        <v/>
      </c>
      <c r="B101" s="15" t="n"/>
      <c r="C101" s="4" t="n"/>
      <c r="D101" s="4" t="n"/>
      <c r="E101" s="4" t="n"/>
      <c r="F101" s="16" t="n"/>
      <c r="G101" s="4" t="n"/>
      <c r="H101" s="4" t="n"/>
      <c r="I101" s="4" t="n"/>
      <c r="J101" s="4" t="n"/>
    </row>
    <row r="102">
      <c r="A102" s="18">
        <f>IF(F102&lt;&gt;"",ROW()-4,"")</f>
        <v/>
      </c>
      <c r="B102" s="15" t="n"/>
      <c r="C102" s="4" t="n"/>
      <c r="D102" s="4" t="n"/>
      <c r="E102" s="4" t="n"/>
      <c r="F102" s="16" t="n"/>
      <c r="G102" s="4" t="n"/>
      <c r="H102" s="4" t="n"/>
      <c r="I102" s="4" t="n"/>
      <c r="J102" s="4" t="n"/>
    </row>
    <row r="103">
      <c r="A103" s="14">
        <f>IF(F103&lt;&gt;"",ROW()-4,"")</f>
        <v/>
      </c>
      <c r="B103" s="15" t="n"/>
      <c r="C103" s="4" t="n"/>
      <c r="D103" s="4" t="n"/>
      <c r="E103" s="4" t="n"/>
      <c r="F103" s="16" t="n"/>
      <c r="G103" s="4" t="n"/>
      <c r="H103" s="4" t="n"/>
      <c r="I103" s="4" t="n"/>
      <c r="J103" s="4" t="n"/>
    </row>
    <row r="104">
      <c r="A104" s="18">
        <f>IF(F104&lt;&gt;"",ROW()-4,"")</f>
        <v/>
      </c>
      <c r="B104" s="15" t="n"/>
      <c r="C104" s="4" t="n"/>
      <c r="D104" s="4" t="n"/>
      <c r="E104" s="4" t="n"/>
      <c r="F104" s="16" t="n"/>
      <c r="G104" s="4" t="n"/>
      <c r="H104" s="4" t="n"/>
      <c r="I104" s="4" t="n"/>
      <c r="J104" s="4" t="n"/>
    </row>
    <row r="105">
      <c r="A105" s="14">
        <f>IF(F105&lt;&gt;"",ROW()-4,"")</f>
        <v/>
      </c>
      <c r="B105" s="15" t="n"/>
      <c r="C105" s="4" t="n"/>
      <c r="D105" s="4" t="n"/>
      <c r="E105" s="4" t="n"/>
      <c r="F105" s="16" t="n"/>
      <c r="G105" s="4" t="n"/>
      <c r="H105" s="4" t="n"/>
      <c r="I105" s="4" t="n"/>
      <c r="J105" s="4" t="n"/>
    </row>
    <row r="106">
      <c r="A106" s="18">
        <f>IF(F106&lt;&gt;"",ROW()-4,"")</f>
        <v/>
      </c>
      <c r="B106" s="15" t="n"/>
      <c r="C106" s="4" t="n"/>
      <c r="D106" s="4" t="n"/>
      <c r="E106" s="4" t="n"/>
      <c r="F106" s="16" t="n"/>
      <c r="G106" s="4" t="n"/>
      <c r="H106" s="4" t="n"/>
      <c r="I106" s="4" t="n"/>
      <c r="J106" s="4" t="n"/>
    </row>
    <row r="107">
      <c r="A107" s="14">
        <f>IF(F107&lt;&gt;"",ROW()-4,"")</f>
        <v/>
      </c>
      <c r="B107" s="15" t="n"/>
      <c r="C107" s="4" t="n"/>
      <c r="D107" s="4" t="n"/>
      <c r="E107" s="4" t="n"/>
      <c r="F107" s="16" t="n"/>
      <c r="G107" s="4" t="n"/>
      <c r="H107" s="4" t="n"/>
      <c r="I107" s="4" t="n"/>
      <c r="J107" s="4" t="n"/>
    </row>
    <row r="108">
      <c r="A108" s="18">
        <f>IF(F108&lt;&gt;"",ROW()-4,"")</f>
        <v/>
      </c>
      <c r="B108" s="15" t="n"/>
      <c r="C108" s="4" t="n"/>
      <c r="D108" s="4" t="n"/>
      <c r="E108" s="4" t="n"/>
      <c r="F108" s="16" t="n"/>
      <c r="G108" s="4" t="n"/>
      <c r="H108" s="4" t="n"/>
      <c r="I108" s="4" t="n"/>
      <c r="J108" s="4" t="n"/>
    </row>
    <row r="109">
      <c r="A109" s="14">
        <f>IF(F109&lt;&gt;"",ROW()-4,"")</f>
        <v/>
      </c>
      <c r="B109" s="15" t="n"/>
      <c r="C109" s="4" t="n"/>
      <c r="D109" s="4" t="n"/>
      <c r="E109" s="4" t="n"/>
      <c r="F109" s="16" t="n"/>
      <c r="G109" s="4" t="n"/>
      <c r="H109" s="4" t="n"/>
      <c r="I109" s="4" t="n"/>
      <c r="J109" s="4" t="n"/>
    </row>
    <row r="110">
      <c r="A110" s="18">
        <f>IF(F110&lt;&gt;"",ROW()-4,"")</f>
        <v/>
      </c>
      <c r="B110" s="15" t="n"/>
      <c r="C110" s="4" t="n"/>
      <c r="D110" s="4" t="n"/>
      <c r="E110" s="4" t="n"/>
      <c r="F110" s="16" t="n"/>
      <c r="G110" s="4" t="n"/>
      <c r="H110" s="4" t="n"/>
      <c r="I110" s="4" t="n"/>
      <c r="J110" s="4" t="n"/>
    </row>
    <row r="111">
      <c r="A111" s="14">
        <f>IF(F111&lt;&gt;"",ROW()-4,"")</f>
        <v/>
      </c>
      <c r="B111" s="15" t="n"/>
      <c r="C111" s="4" t="n"/>
      <c r="D111" s="4" t="n"/>
      <c r="E111" s="4" t="n"/>
      <c r="F111" s="16" t="n"/>
      <c r="G111" s="4" t="n"/>
      <c r="H111" s="4" t="n"/>
      <c r="I111" s="4" t="n"/>
      <c r="J111" s="4" t="n"/>
    </row>
    <row r="112">
      <c r="A112" s="18">
        <f>IF(F112&lt;&gt;"",ROW()-4,"")</f>
        <v/>
      </c>
      <c r="B112" s="15" t="n"/>
      <c r="C112" s="4" t="n"/>
      <c r="D112" s="4" t="n"/>
      <c r="E112" s="4" t="n"/>
      <c r="F112" s="16" t="n"/>
      <c r="G112" s="4" t="n"/>
      <c r="H112" s="4" t="n"/>
      <c r="I112" s="4" t="n"/>
      <c r="J112" s="4" t="n"/>
    </row>
    <row r="113">
      <c r="A113" s="14">
        <f>IF(F113&lt;&gt;"",ROW()-4,"")</f>
        <v/>
      </c>
      <c r="B113" s="15" t="n"/>
      <c r="C113" s="4" t="n"/>
      <c r="D113" s="4" t="n"/>
      <c r="E113" s="4" t="n"/>
      <c r="F113" s="16" t="n"/>
      <c r="G113" s="4" t="n"/>
      <c r="H113" s="4" t="n"/>
      <c r="I113" s="4" t="n"/>
      <c r="J113" s="4" t="n"/>
    </row>
    <row r="114">
      <c r="A114" s="18">
        <f>IF(F114&lt;&gt;"",ROW()-4,"")</f>
        <v/>
      </c>
      <c r="B114" s="15" t="n"/>
      <c r="C114" s="4" t="n"/>
      <c r="D114" s="4" t="n"/>
      <c r="E114" s="4" t="n"/>
      <c r="F114" s="16" t="n"/>
      <c r="G114" s="4" t="n"/>
      <c r="H114" s="4" t="n"/>
      <c r="I114" s="4" t="n"/>
      <c r="J114" s="4" t="n"/>
    </row>
    <row r="115">
      <c r="A115" s="14">
        <f>IF(F115&lt;&gt;"",ROW()-4,"")</f>
        <v/>
      </c>
      <c r="B115" s="15" t="n"/>
      <c r="C115" s="4" t="n"/>
      <c r="D115" s="4" t="n"/>
      <c r="E115" s="4" t="n"/>
      <c r="F115" s="16" t="n"/>
      <c r="G115" s="4" t="n"/>
      <c r="H115" s="4" t="n"/>
      <c r="I115" s="4" t="n"/>
      <c r="J115" s="4" t="n"/>
    </row>
    <row r="116">
      <c r="A116" s="18">
        <f>IF(F116&lt;&gt;"",ROW()-4,"")</f>
        <v/>
      </c>
      <c r="B116" s="15" t="n"/>
      <c r="C116" s="4" t="n"/>
      <c r="D116" s="4" t="n"/>
      <c r="E116" s="4" t="n"/>
      <c r="F116" s="16" t="n"/>
      <c r="G116" s="4" t="n"/>
      <c r="H116" s="4" t="n"/>
      <c r="I116" s="4" t="n"/>
      <c r="J116" s="4" t="n"/>
    </row>
    <row r="117">
      <c r="A117" s="14">
        <f>IF(F117&lt;&gt;"",ROW()-4,"")</f>
        <v/>
      </c>
      <c r="B117" s="15" t="n"/>
      <c r="C117" s="4" t="n"/>
      <c r="D117" s="4" t="n"/>
      <c r="E117" s="4" t="n"/>
      <c r="F117" s="16" t="n"/>
      <c r="G117" s="4" t="n"/>
      <c r="H117" s="4" t="n"/>
      <c r="I117" s="4" t="n"/>
      <c r="J117" s="4" t="n"/>
    </row>
    <row r="118">
      <c r="A118" s="18">
        <f>IF(F118&lt;&gt;"",ROW()-4,"")</f>
        <v/>
      </c>
      <c r="B118" s="15" t="n"/>
      <c r="C118" s="4" t="n"/>
      <c r="D118" s="4" t="n"/>
      <c r="E118" s="4" t="n"/>
      <c r="F118" s="16" t="n"/>
      <c r="G118" s="4" t="n"/>
      <c r="H118" s="4" t="n"/>
      <c r="I118" s="4" t="n"/>
      <c r="J118" s="4" t="n"/>
    </row>
    <row r="119">
      <c r="A119" s="14">
        <f>IF(F119&lt;&gt;"",ROW()-4,"")</f>
        <v/>
      </c>
      <c r="B119" s="15" t="n"/>
      <c r="C119" s="4" t="n"/>
      <c r="D119" s="4" t="n"/>
      <c r="E119" s="4" t="n"/>
      <c r="F119" s="16" t="n"/>
      <c r="G119" s="4" t="n"/>
      <c r="H119" s="4" t="n"/>
      <c r="I119" s="4" t="n"/>
      <c r="J119" s="4" t="n"/>
    </row>
    <row r="120">
      <c r="A120" s="18">
        <f>IF(F120&lt;&gt;"",ROW()-4,"")</f>
        <v/>
      </c>
      <c r="B120" s="15" t="n"/>
      <c r="C120" s="4" t="n"/>
      <c r="D120" s="4" t="n"/>
      <c r="E120" s="4" t="n"/>
      <c r="F120" s="16" t="n"/>
      <c r="G120" s="4" t="n"/>
      <c r="H120" s="4" t="n"/>
      <c r="I120" s="4" t="n"/>
      <c r="J120" s="4" t="n"/>
    </row>
    <row r="121">
      <c r="A121" s="14">
        <f>IF(F121&lt;&gt;"",ROW()-4,"")</f>
        <v/>
      </c>
      <c r="B121" s="15" t="n"/>
      <c r="C121" s="4" t="n"/>
      <c r="D121" s="4" t="n"/>
      <c r="E121" s="4" t="n"/>
      <c r="F121" s="16" t="n"/>
      <c r="G121" s="4" t="n"/>
      <c r="H121" s="4" t="n"/>
      <c r="I121" s="4" t="n"/>
      <c r="J121" s="4" t="n"/>
    </row>
    <row r="122">
      <c r="A122" s="18">
        <f>IF(F122&lt;&gt;"",ROW()-4,"")</f>
        <v/>
      </c>
      <c r="B122" s="15" t="n"/>
      <c r="C122" s="4" t="n"/>
      <c r="D122" s="4" t="n"/>
      <c r="E122" s="4" t="n"/>
      <c r="F122" s="16" t="n"/>
      <c r="G122" s="4" t="n"/>
      <c r="H122" s="4" t="n"/>
      <c r="I122" s="4" t="n"/>
      <c r="J122" s="4" t="n"/>
    </row>
    <row r="123">
      <c r="A123" s="14">
        <f>IF(F123&lt;&gt;"",ROW()-4,"")</f>
        <v/>
      </c>
      <c r="B123" s="15" t="n"/>
      <c r="C123" s="4" t="n"/>
      <c r="D123" s="4" t="n"/>
      <c r="E123" s="4" t="n"/>
      <c r="F123" s="16" t="n"/>
      <c r="G123" s="4" t="n"/>
      <c r="H123" s="4" t="n"/>
      <c r="I123" s="4" t="n"/>
      <c r="J123" s="4" t="n"/>
    </row>
    <row r="124">
      <c r="A124" s="18">
        <f>IF(F124&lt;&gt;"",ROW()-4,"")</f>
        <v/>
      </c>
      <c r="B124" s="15" t="n"/>
      <c r="C124" s="4" t="n"/>
      <c r="D124" s="4" t="n"/>
      <c r="E124" s="4" t="n"/>
      <c r="F124" s="16" t="n"/>
      <c r="G124" s="4" t="n"/>
      <c r="H124" s="4" t="n"/>
      <c r="I124" s="4" t="n"/>
      <c r="J124" s="4" t="n"/>
    </row>
    <row r="125">
      <c r="A125" s="14">
        <f>IF(F125&lt;&gt;"",ROW()-4,"")</f>
        <v/>
      </c>
      <c r="B125" s="15" t="n"/>
      <c r="C125" s="4" t="n"/>
      <c r="D125" s="4" t="n"/>
      <c r="E125" s="4" t="n"/>
      <c r="F125" s="16" t="n"/>
      <c r="G125" s="4" t="n"/>
      <c r="H125" s="4" t="n"/>
      <c r="I125" s="4" t="n"/>
      <c r="J125" s="4" t="n"/>
    </row>
    <row r="126">
      <c r="A126" s="18">
        <f>IF(F126&lt;&gt;"",ROW()-4,"")</f>
        <v/>
      </c>
      <c r="B126" s="15" t="n"/>
      <c r="C126" s="4" t="n"/>
      <c r="D126" s="4" t="n"/>
      <c r="E126" s="4" t="n"/>
      <c r="F126" s="16" t="n"/>
      <c r="G126" s="4" t="n"/>
      <c r="H126" s="4" t="n"/>
      <c r="I126" s="4" t="n"/>
      <c r="J126" s="4" t="n"/>
    </row>
    <row r="127">
      <c r="A127" s="14">
        <f>IF(F127&lt;&gt;"",ROW()-4,"")</f>
        <v/>
      </c>
      <c r="B127" s="15" t="n"/>
      <c r="C127" s="4" t="n"/>
      <c r="D127" s="4" t="n"/>
      <c r="E127" s="4" t="n"/>
      <c r="F127" s="16" t="n"/>
      <c r="G127" s="4" t="n"/>
      <c r="H127" s="4" t="n"/>
      <c r="I127" s="4" t="n"/>
      <c r="J127" s="4" t="n"/>
    </row>
    <row r="128">
      <c r="A128" s="18">
        <f>IF(F128&lt;&gt;"",ROW()-4,"")</f>
        <v/>
      </c>
      <c r="B128" s="15" t="n"/>
      <c r="C128" s="4" t="n"/>
      <c r="D128" s="4" t="n"/>
      <c r="E128" s="4" t="n"/>
      <c r="F128" s="16" t="n"/>
      <c r="G128" s="4" t="n"/>
      <c r="H128" s="4" t="n"/>
      <c r="I128" s="4" t="n"/>
      <c r="J128" s="4" t="n"/>
    </row>
    <row r="129">
      <c r="A129" s="14">
        <f>IF(F129&lt;&gt;"",ROW()-4,"")</f>
        <v/>
      </c>
      <c r="B129" s="15" t="n"/>
      <c r="C129" s="4" t="n"/>
      <c r="D129" s="4" t="n"/>
      <c r="E129" s="4" t="n"/>
      <c r="F129" s="16" t="n"/>
      <c r="G129" s="4" t="n"/>
      <c r="H129" s="4" t="n"/>
      <c r="I129" s="4" t="n"/>
      <c r="J129" s="4" t="n"/>
    </row>
    <row r="130">
      <c r="A130" s="18">
        <f>IF(F130&lt;&gt;"",ROW()-4,"")</f>
        <v/>
      </c>
      <c r="B130" s="15" t="n"/>
      <c r="C130" s="4" t="n"/>
      <c r="D130" s="4" t="n"/>
      <c r="E130" s="4" t="n"/>
      <c r="F130" s="16" t="n"/>
      <c r="G130" s="4" t="n"/>
      <c r="H130" s="4" t="n"/>
      <c r="I130" s="4" t="n"/>
      <c r="J130" s="4" t="n"/>
    </row>
    <row r="131">
      <c r="A131" s="14">
        <f>IF(F131&lt;&gt;"",ROW()-4,"")</f>
        <v/>
      </c>
      <c r="B131" s="15" t="n"/>
      <c r="C131" s="4" t="n"/>
      <c r="D131" s="4" t="n"/>
      <c r="E131" s="4" t="n"/>
      <c r="F131" s="16" t="n"/>
      <c r="G131" s="4" t="n"/>
      <c r="H131" s="4" t="n"/>
      <c r="I131" s="4" t="n"/>
      <c r="J131" s="4" t="n"/>
    </row>
    <row r="132">
      <c r="A132" s="18">
        <f>IF(F132&lt;&gt;"",ROW()-4,"")</f>
        <v/>
      </c>
      <c r="B132" s="15" t="n"/>
      <c r="C132" s="4" t="n"/>
      <c r="D132" s="4" t="n"/>
      <c r="E132" s="4" t="n"/>
      <c r="F132" s="16" t="n"/>
      <c r="G132" s="4" t="n"/>
      <c r="H132" s="4" t="n"/>
      <c r="I132" s="4" t="n"/>
      <c r="J132" s="4" t="n"/>
    </row>
    <row r="133">
      <c r="A133" s="14">
        <f>IF(F133&lt;&gt;"",ROW()-4,"")</f>
        <v/>
      </c>
      <c r="B133" s="15" t="n"/>
      <c r="C133" s="4" t="n"/>
      <c r="D133" s="4" t="n"/>
      <c r="E133" s="4" t="n"/>
      <c r="F133" s="16" t="n"/>
      <c r="G133" s="4" t="n"/>
      <c r="H133" s="4" t="n"/>
      <c r="I133" s="4" t="n"/>
      <c r="J133" s="4" t="n"/>
    </row>
    <row r="134">
      <c r="A134" s="18">
        <f>IF(F134&lt;&gt;"",ROW()-4,"")</f>
        <v/>
      </c>
      <c r="B134" s="15" t="n"/>
      <c r="C134" s="4" t="n"/>
      <c r="D134" s="4" t="n"/>
      <c r="E134" s="4" t="n"/>
      <c r="F134" s="16" t="n"/>
      <c r="G134" s="4" t="n"/>
      <c r="H134" s="4" t="n"/>
      <c r="I134" s="4" t="n"/>
      <c r="J134" s="4" t="n"/>
    </row>
    <row r="135">
      <c r="A135" s="14">
        <f>IF(F135&lt;&gt;"",ROW()-4,"")</f>
        <v/>
      </c>
      <c r="B135" s="15" t="n"/>
      <c r="C135" s="4" t="n"/>
      <c r="D135" s="4" t="n"/>
      <c r="E135" s="4" t="n"/>
      <c r="F135" s="16" t="n"/>
      <c r="G135" s="4" t="n"/>
      <c r="H135" s="4" t="n"/>
      <c r="I135" s="4" t="n"/>
      <c r="J135" s="4" t="n"/>
    </row>
    <row r="136">
      <c r="A136" s="18">
        <f>IF(F136&lt;&gt;"",ROW()-4,"")</f>
        <v/>
      </c>
      <c r="B136" s="15" t="n"/>
      <c r="C136" s="4" t="n"/>
      <c r="D136" s="4" t="n"/>
      <c r="E136" s="4" t="n"/>
      <c r="F136" s="16" t="n"/>
      <c r="G136" s="4" t="n"/>
      <c r="H136" s="4" t="n"/>
      <c r="I136" s="4" t="n"/>
      <c r="J136" s="4" t="n"/>
    </row>
    <row r="137">
      <c r="A137" s="14">
        <f>IF(F137&lt;&gt;"",ROW()-4,"")</f>
        <v/>
      </c>
      <c r="B137" s="15" t="n"/>
      <c r="C137" s="4" t="n"/>
      <c r="D137" s="4" t="n"/>
      <c r="E137" s="4" t="n"/>
      <c r="F137" s="16" t="n"/>
      <c r="G137" s="4" t="n"/>
      <c r="H137" s="4" t="n"/>
      <c r="I137" s="4" t="n"/>
      <c r="J137" s="4" t="n"/>
    </row>
    <row r="138">
      <c r="A138" s="18">
        <f>IF(F138&lt;&gt;"",ROW()-4,"")</f>
        <v/>
      </c>
      <c r="B138" s="15" t="n"/>
      <c r="C138" s="4" t="n"/>
      <c r="D138" s="4" t="n"/>
      <c r="E138" s="4" t="n"/>
      <c r="F138" s="16" t="n"/>
      <c r="G138" s="4" t="n"/>
      <c r="H138" s="4" t="n"/>
      <c r="I138" s="4" t="n"/>
      <c r="J138" s="4" t="n"/>
    </row>
    <row r="139">
      <c r="A139" s="14">
        <f>IF(F139&lt;&gt;"",ROW()-4,"")</f>
        <v/>
      </c>
      <c r="B139" s="15" t="n"/>
      <c r="C139" s="4" t="n"/>
      <c r="D139" s="4" t="n"/>
      <c r="E139" s="4" t="n"/>
      <c r="F139" s="16" t="n"/>
      <c r="G139" s="4" t="n"/>
      <c r="H139" s="4" t="n"/>
      <c r="I139" s="4" t="n"/>
      <c r="J139" s="4" t="n"/>
    </row>
    <row r="140">
      <c r="A140" s="18">
        <f>IF(F140&lt;&gt;"",ROW()-4,"")</f>
        <v/>
      </c>
      <c r="B140" s="15" t="n"/>
      <c r="C140" s="4" t="n"/>
      <c r="D140" s="4" t="n"/>
      <c r="E140" s="4" t="n"/>
      <c r="F140" s="16" t="n"/>
      <c r="G140" s="4" t="n"/>
      <c r="H140" s="4" t="n"/>
      <c r="I140" s="4" t="n"/>
      <c r="J140" s="4" t="n"/>
    </row>
    <row r="141">
      <c r="A141" s="14">
        <f>IF(F141&lt;&gt;"",ROW()-4,"")</f>
        <v/>
      </c>
      <c r="B141" s="15" t="n"/>
      <c r="C141" s="4" t="n"/>
      <c r="D141" s="4" t="n"/>
      <c r="E141" s="4" t="n"/>
      <c r="F141" s="16" t="n"/>
      <c r="G141" s="4" t="n"/>
      <c r="H141" s="4" t="n"/>
      <c r="I141" s="4" t="n"/>
      <c r="J141" s="4" t="n"/>
    </row>
    <row r="142">
      <c r="A142" s="18">
        <f>IF(F142&lt;&gt;"",ROW()-4,"")</f>
        <v/>
      </c>
      <c r="B142" s="15" t="n"/>
      <c r="C142" s="4" t="n"/>
      <c r="D142" s="4" t="n"/>
      <c r="E142" s="4" t="n"/>
      <c r="F142" s="16" t="n"/>
      <c r="G142" s="4" t="n"/>
      <c r="H142" s="4" t="n"/>
      <c r="I142" s="4" t="n"/>
      <c r="J142" s="4" t="n"/>
    </row>
    <row r="143">
      <c r="A143" s="14">
        <f>IF(F143&lt;&gt;"",ROW()-4,"")</f>
        <v/>
      </c>
      <c r="B143" s="15" t="n"/>
      <c r="C143" s="4" t="n"/>
      <c r="D143" s="4" t="n"/>
      <c r="E143" s="4" t="n"/>
      <c r="F143" s="16" t="n"/>
      <c r="G143" s="4" t="n"/>
      <c r="H143" s="4" t="n"/>
      <c r="I143" s="4" t="n"/>
      <c r="J143" s="4" t="n"/>
    </row>
    <row r="144">
      <c r="A144" s="18">
        <f>IF(F144&lt;&gt;"",ROW()-4,"")</f>
        <v/>
      </c>
      <c r="B144" s="15" t="n"/>
      <c r="C144" s="4" t="n"/>
      <c r="D144" s="4" t="n"/>
      <c r="E144" s="4" t="n"/>
      <c r="F144" s="16" t="n"/>
      <c r="G144" s="4" t="n"/>
      <c r="H144" s="4" t="n"/>
      <c r="I144" s="4" t="n"/>
      <c r="J144" s="4" t="n"/>
    </row>
    <row r="145">
      <c r="A145" s="14">
        <f>IF(F145&lt;&gt;"",ROW()-4,"")</f>
        <v/>
      </c>
      <c r="B145" s="15" t="n"/>
      <c r="C145" s="4" t="n"/>
      <c r="D145" s="4" t="n"/>
      <c r="E145" s="4" t="n"/>
      <c r="F145" s="16" t="n"/>
      <c r="G145" s="4" t="n"/>
      <c r="H145" s="4" t="n"/>
      <c r="I145" s="4" t="n"/>
      <c r="J145" s="4" t="n"/>
    </row>
    <row r="146">
      <c r="A146" s="18">
        <f>IF(F146&lt;&gt;"",ROW()-4,"")</f>
        <v/>
      </c>
      <c r="B146" s="15" t="n"/>
      <c r="C146" s="4" t="n"/>
      <c r="D146" s="4" t="n"/>
      <c r="E146" s="4" t="n"/>
      <c r="F146" s="16" t="n"/>
      <c r="G146" s="4" t="n"/>
      <c r="H146" s="4" t="n"/>
      <c r="I146" s="4" t="n"/>
      <c r="J146" s="4" t="n"/>
    </row>
    <row r="147">
      <c r="A147" s="14">
        <f>IF(F147&lt;&gt;"",ROW()-4,"")</f>
        <v/>
      </c>
      <c r="B147" s="15" t="n"/>
      <c r="C147" s="4" t="n"/>
      <c r="D147" s="4" t="n"/>
      <c r="E147" s="4" t="n"/>
      <c r="F147" s="16" t="n"/>
      <c r="G147" s="4" t="n"/>
      <c r="H147" s="4" t="n"/>
      <c r="I147" s="4" t="n"/>
      <c r="J147" s="4" t="n"/>
    </row>
    <row r="148">
      <c r="A148" s="18">
        <f>IF(F148&lt;&gt;"",ROW()-4,"")</f>
        <v/>
      </c>
      <c r="B148" s="15" t="n"/>
      <c r="C148" s="4" t="n"/>
      <c r="D148" s="4" t="n"/>
      <c r="E148" s="4" t="n"/>
      <c r="F148" s="16" t="n"/>
      <c r="G148" s="4" t="n"/>
      <c r="H148" s="4" t="n"/>
      <c r="I148" s="4" t="n"/>
      <c r="J148" s="4" t="n"/>
    </row>
    <row r="149">
      <c r="A149" s="14">
        <f>IF(F149&lt;&gt;"",ROW()-4,"")</f>
        <v/>
      </c>
      <c r="B149" s="15" t="n"/>
      <c r="C149" s="4" t="n"/>
      <c r="D149" s="4" t="n"/>
      <c r="E149" s="4" t="n"/>
      <c r="F149" s="16" t="n"/>
      <c r="G149" s="4" t="n"/>
      <c r="H149" s="4" t="n"/>
      <c r="I149" s="4" t="n"/>
      <c r="J149" s="4" t="n"/>
    </row>
    <row r="150">
      <c r="A150" s="18">
        <f>IF(F150&lt;&gt;"",ROW()-4,"")</f>
        <v/>
      </c>
      <c r="B150" s="15" t="n"/>
      <c r="C150" s="4" t="n"/>
      <c r="D150" s="4" t="n"/>
      <c r="E150" s="4" t="n"/>
      <c r="F150" s="16" t="n"/>
      <c r="G150" s="4" t="n"/>
      <c r="H150" s="4" t="n"/>
      <c r="I150" s="4" t="n"/>
      <c r="J150" s="4" t="n"/>
    </row>
    <row r="151">
      <c r="A151" s="14">
        <f>IF(F151&lt;&gt;"",ROW()-4,"")</f>
        <v/>
      </c>
      <c r="B151" s="15" t="n"/>
      <c r="C151" s="4" t="n"/>
      <c r="D151" s="4" t="n"/>
      <c r="E151" s="4" t="n"/>
      <c r="F151" s="16" t="n"/>
      <c r="G151" s="4" t="n"/>
      <c r="H151" s="4" t="n"/>
      <c r="I151" s="4" t="n"/>
      <c r="J151" s="4" t="n"/>
    </row>
    <row r="152">
      <c r="A152" s="18">
        <f>IF(F152&lt;&gt;"",ROW()-4,"")</f>
        <v/>
      </c>
      <c r="B152" s="15" t="n"/>
      <c r="C152" s="4" t="n"/>
      <c r="D152" s="4" t="n"/>
      <c r="E152" s="4" t="n"/>
      <c r="F152" s="16" t="n"/>
      <c r="G152" s="4" t="n"/>
      <c r="H152" s="4" t="n"/>
      <c r="I152" s="4" t="n"/>
      <c r="J152" s="4" t="n"/>
    </row>
    <row r="153">
      <c r="A153" s="14">
        <f>IF(F153&lt;&gt;"",ROW()-4,"")</f>
        <v/>
      </c>
      <c r="B153" s="15" t="n"/>
      <c r="C153" s="4" t="n"/>
      <c r="D153" s="4" t="n"/>
      <c r="E153" s="4" t="n"/>
      <c r="F153" s="16" t="n"/>
      <c r="G153" s="4" t="n"/>
      <c r="H153" s="4" t="n"/>
      <c r="I153" s="4" t="n"/>
      <c r="J153" s="4" t="n"/>
    </row>
    <row r="154">
      <c r="A154" s="18">
        <f>IF(F154&lt;&gt;"",ROW()-4,"")</f>
        <v/>
      </c>
      <c r="B154" s="15" t="n"/>
      <c r="C154" s="4" t="n"/>
      <c r="D154" s="4" t="n"/>
      <c r="E154" s="4" t="n"/>
      <c r="F154" s="16" t="n"/>
      <c r="G154" s="4" t="n"/>
      <c r="H154" s="4" t="n"/>
      <c r="I154" s="4" t="n"/>
      <c r="J154" s="4" t="n"/>
    </row>
    <row r="155">
      <c r="A155" s="14">
        <f>IF(F155&lt;&gt;"",ROW()-4,"")</f>
        <v/>
      </c>
      <c r="B155" s="15" t="n"/>
      <c r="C155" s="4" t="n"/>
      <c r="D155" s="4" t="n"/>
      <c r="E155" s="4" t="n"/>
      <c r="F155" s="16" t="n"/>
      <c r="G155" s="4" t="n"/>
      <c r="H155" s="4" t="n"/>
      <c r="I155" s="4" t="n"/>
      <c r="J155" s="4" t="n"/>
    </row>
    <row r="156">
      <c r="A156" s="18">
        <f>IF(F156&lt;&gt;"",ROW()-4,"")</f>
        <v/>
      </c>
      <c r="B156" s="15" t="n"/>
      <c r="C156" s="4" t="n"/>
      <c r="D156" s="4" t="n"/>
      <c r="E156" s="4" t="n"/>
      <c r="F156" s="16" t="n"/>
      <c r="G156" s="4" t="n"/>
      <c r="H156" s="4" t="n"/>
      <c r="I156" s="4" t="n"/>
      <c r="J156" s="4" t="n"/>
    </row>
    <row r="157">
      <c r="A157" s="14">
        <f>IF(F157&lt;&gt;"",ROW()-4,"")</f>
        <v/>
      </c>
      <c r="B157" s="15" t="n"/>
      <c r="C157" s="4" t="n"/>
      <c r="D157" s="4" t="n"/>
      <c r="E157" s="4" t="n"/>
      <c r="F157" s="16" t="n"/>
      <c r="G157" s="4" t="n"/>
      <c r="H157" s="4" t="n"/>
      <c r="I157" s="4" t="n"/>
      <c r="J157" s="4" t="n"/>
    </row>
    <row r="158">
      <c r="A158" s="18">
        <f>IF(F158&lt;&gt;"",ROW()-4,"")</f>
        <v/>
      </c>
      <c r="B158" s="15" t="n"/>
      <c r="C158" s="4" t="n"/>
      <c r="D158" s="4" t="n"/>
      <c r="E158" s="4" t="n"/>
      <c r="F158" s="16" t="n"/>
      <c r="G158" s="4" t="n"/>
      <c r="H158" s="4" t="n"/>
      <c r="I158" s="4" t="n"/>
      <c r="J158" s="4" t="n"/>
    </row>
    <row r="159">
      <c r="A159" s="14">
        <f>IF(F159&lt;&gt;"",ROW()-4,"")</f>
        <v/>
      </c>
      <c r="B159" s="15" t="n"/>
      <c r="C159" s="4" t="n"/>
      <c r="D159" s="4" t="n"/>
      <c r="E159" s="4" t="n"/>
      <c r="F159" s="16" t="n"/>
      <c r="G159" s="4" t="n"/>
      <c r="H159" s="4" t="n"/>
      <c r="I159" s="4" t="n"/>
      <c r="J159" s="4" t="n"/>
    </row>
    <row r="160">
      <c r="A160" s="18">
        <f>IF(F160&lt;&gt;"",ROW()-4,"")</f>
        <v/>
      </c>
      <c r="B160" s="15" t="n"/>
      <c r="C160" s="4" t="n"/>
      <c r="D160" s="4" t="n"/>
      <c r="E160" s="4" t="n"/>
      <c r="F160" s="16" t="n"/>
      <c r="G160" s="4" t="n"/>
      <c r="H160" s="4" t="n"/>
      <c r="I160" s="4" t="n"/>
      <c r="J160" s="4" t="n"/>
    </row>
    <row r="161">
      <c r="A161" s="14">
        <f>IF(F161&lt;&gt;"",ROW()-4,"")</f>
        <v/>
      </c>
      <c r="B161" s="15" t="n"/>
      <c r="C161" s="4" t="n"/>
      <c r="D161" s="4" t="n"/>
      <c r="E161" s="4" t="n"/>
      <c r="F161" s="16" t="n"/>
      <c r="G161" s="4" t="n"/>
      <c r="H161" s="4" t="n"/>
      <c r="I161" s="4" t="n"/>
      <c r="J161" s="4" t="n"/>
    </row>
    <row r="162">
      <c r="A162" s="18">
        <f>IF(F162&lt;&gt;"",ROW()-4,"")</f>
        <v/>
      </c>
      <c r="B162" s="15" t="n"/>
      <c r="C162" s="4" t="n"/>
      <c r="D162" s="4" t="n"/>
      <c r="E162" s="4" t="n"/>
      <c r="F162" s="16" t="n"/>
      <c r="G162" s="4" t="n"/>
      <c r="H162" s="4" t="n"/>
      <c r="I162" s="4" t="n"/>
      <c r="J162" s="4" t="n"/>
    </row>
    <row r="163">
      <c r="A163" s="14">
        <f>IF(F163&lt;&gt;"",ROW()-4,"")</f>
        <v/>
      </c>
      <c r="B163" s="15" t="n"/>
      <c r="C163" s="4" t="n"/>
      <c r="D163" s="4" t="n"/>
      <c r="E163" s="4" t="n"/>
      <c r="F163" s="16" t="n"/>
      <c r="G163" s="4" t="n"/>
      <c r="H163" s="4" t="n"/>
      <c r="I163" s="4" t="n"/>
      <c r="J163" s="4" t="n"/>
    </row>
    <row r="164">
      <c r="A164" s="18">
        <f>IF(F164&lt;&gt;"",ROW()-4,"")</f>
        <v/>
      </c>
      <c r="B164" s="15" t="n"/>
      <c r="C164" s="4" t="n"/>
      <c r="D164" s="4" t="n"/>
      <c r="E164" s="4" t="n"/>
      <c r="F164" s="16" t="n"/>
      <c r="G164" s="4" t="n"/>
      <c r="H164" s="4" t="n"/>
      <c r="I164" s="4" t="n"/>
      <c r="J164" s="4" t="n"/>
    </row>
    <row r="165">
      <c r="A165" s="14">
        <f>IF(F165&lt;&gt;"",ROW()-4,"")</f>
        <v/>
      </c>
      <c r="B165" s="15" t="n"/>
      <c r="C165" s="4" t="n"/>
      <c r="D165" s="4" t="n"/>
      <c r="E165" s="4" t="n"/>
      <c r="F165" s="16" t="n"/>
      <c r="G165" s="4" t="n"/>
      <c r="H165" s="4" t="n"/>
      <c r="I165" s="4" t="n"/>
      <c r="J165" s="4" t="n"/>
    </row>
    <row r="166">
      <c r="A166" s="18">
        <f>IF(F166&lt;&gt;"",ROW()-4,"")</f>
        <v/>
      </c>
      <c r="B166" s="15" t="n"/>
      <c r="C166" s="4" t="n"/>
      <c r="D166" s="4" t="n"/>
      <c r="E166" s="4" t="n"/>
      <c r="F166" s="16" t="n"/>
      <c r="G166" s="4" t="n"/>
      <c r="H166" s="4" t="n"/>
      <c r="I166" s="4" t="n"/>
      <c r="J166" s="4" t="n"/>
    </row>
    <row r="167">
      <c r="A167" s="14">
        <f>IF(F167&lt;&gt;"",ROW()-4,"")</f>
        <v/>
      </c>
      <c r="B167" s="15" t="n"/>
      <c r="C167" s="4" t="n"/>
      <c r="D167" s="4" t="n"/>
      <c r="E167" s="4" t="n"/>
      <c r="F167" s="16" t="n"/>
      <c r="G167" s="4" t="n"/>
      <c r="H167" s="4" t="n"/>
      <c r="I167" s="4" t="n"/>
      <c r="J167" s="4" t="n"/>
    </row>
    <row r="168">
      <c r="A168" s="18">
        <f>IF(F168&lt;&gt;"",ROW()-4,"")</f>
        <v/>
      </c>
      <c r="B168" s="15" t="n"/>
      <c r="C168" s="4" t="n"/>
      <c r="D168" s="4" t="n"/>
      <c r="E168" s="4" t="n"/>
      <c r="F168" s="16" t="n"/>
      <c r="G168" s="4" t="n"/>
      <c r="H168" s="4" t="n"/>
      <c r="I168" s="4" t="n"/>
      <c r="J168" s="4" t="n"/>
    </row>
    <row r="169">
      <c r="A169" s="14">
        <f>IF(F169&lt;&gt;"",ROW()-4,"")</f>
        <v/>
      </c>
      <c r="B169" s="15" t="n"/>
      <c r="C169" s="4" t="n"/>
      <c r="D169" s="4" t="n"/>
      <c r="E169" s="4" t="n"/>
      <c r="F169" s="16" t="n"/>
      <c r="G169" s="4" t="n"/>
      <c r="H169" s="4" t="n"/>
      <c r="I169" s="4" t="n"/>
      <c r="J169" s="4" t="n"/>
    </row>
    <row r="170">
      <c r="A170" s="18">
        <f>IF(F170&lt;&gt;"",ROW()-4,"")</f>
        <v/>
      </c>
      <c r="B170" s="15" t="n"/>
      <c r="C170" s="4" t="n"/>
      <c r="D170" s="4" t="n"/>
      <c r="E170" s="4" t="n"/>
      <c r="F170" s="16" t="n"/>
      <c r="G170" s="4" t="n"/>
      <c r="H170" s="4" t="n"/>
      <c r="I170" s="4" t="n"/>
      <c r="J170" s="4" t="n"/>
    </row>
    <row r="171">
      <c r="A171" s="14">
        <f>IF(F171&lt;&gt;"",ROW()-4,"")</f>
        <v/>
      </c>
      <c r="B171" s="15" t="n"/>
      <c r="C171" s="4" t="n"/>
      <c r="D171" s="4" t="n"/>
      <c r="E171" s="4" t="n"/>
      <c r="F171" s="16" t="n"/>
      <c r="G171" s="4" t="n"/>
      <c r="H171" s="4" t="n"/>
      <c r="I171" s="4" t="n"/>
      <c r="J171" s="4" t="n"/>
    </row>
    <row r="172">
      <c r="A172" s="18">
        <f>IF(F172&lt;&gt;"",ROW()-4,"")</f>
        <v/>
      </c>
      <c r="B172" s="15" t="n"/>
      <c r="C172" s="4" t="n"/>
      <c r="D172" s="4" t="n"/>
      <c r="E172" s="4" t="n"/>
      <c r="F172" s="16" t="n"/>
      <c r="G172" s="4" t="n"/>
      <c r="H172" s="4" t="n"/>
      <c r="I172" s="4" t="n"/>
      <c r="J172" s="4" t="n"/>
    </row>
    <row r="173">
      <c r="A173" s="14">
        <f>IF(F173&lt;&gt;"",ROW()-4,"")</f>
        <v/>
      </c>
      <c r="B173" s="15" t="n"/>
      <c r="C173" s="4" t="n"/>
      <c r="D173" s="4" t="n"/>
      <c r="E173" s="4" t="n"/>
      <c r="F173" s="16" t="n"/>
      <c r="G173" s="4" t="n"/>
      <c r="H173" s="4" t="n"/>
      <c r="I173" s="4" t="n"/>
      <c r="J173" s="4" t="n"/>
    </row>
    <row r="174">
      <c r="A174" s="18">
        <f>IF(F174&lt;&gt;"",ROW()-4,"")</f>
        <v/>
      </c>
      <c r="B174" s="15" t="n"/>
      <c r="C174" s="4" t="n"/>
      <c r="D174" s="4" t="n"/>
      <c r="E174" s="4" t="n"/>
      <c r="F174" s="16" t="n"/>
      <c r="G174" s="4" t="n"/>
      <c r="H174" s="4" t="n"/>
      <c r="I174" s="4" t="n"/>
      <c r="J174" s="4" t="n"/>
    </row>
    <row r="175">
      <c r="A175" s="14">
        <f>IF(F175&lt;&gt;"",ROW()-4,"")</f>
        <v/>
      </c>
      <c r="B175" s="15" t="n"/>
      <c r="C175" s="4" t="n"/>
      <c r="D175" s="4" t="n"/>
      <c r="E175" s="4" t="n"/>
      <c r="F175" s="16" t="n"/>
      <c r="G175" s="4" t="n"/>
      <c r="H175" s="4" t="n"/>
      <c r="I175" s="4" t="n"/>
      <c r="J175" s="4" t="n"/>
    </row>
    <row r="176">
      <c r="A176" s="18">
        <f>IF(F176&lt;&gt;"",ROW()-4,"")</f>
        <v/>
      </c>
      <c r="B176" s="15" t="n"/>
      <c r="C176" s="4" t="n"/>
      <c r="D176" s="4" t="n"/>
      <c r="E176" s="4" t="n"/>
      <c r="F176" s="16" t="n"/>
      <c r="G176" s="4" t="n"/>
      <c r="H176" s="4" t="n"/>
      <c r="I176" s="4" t="n"/>
      <c r="J176" s="4" t="n"/>
    </row>
    <row r="177">
      <c r="A177" s="14">
        <f>IF(F177&lt;&gt;"",ROW()-4,"")</f>
        <v/>
      </c>
      <c r="B177" s="15" t="n"/>
      <c r="C177" s="4" t="n"/>
      <c r="D177" s="4" t="n"/>
      <c r="E177" s="4" t="n"/>
      <c r="F177" s="16" t="n"/>
      <c r="G177" s="4" t="n"/>
      <c r="H177" s="4" t="n"/>
      <c r="I177" s="4" t="n"/>
      <c r="J177" s="4" t="n"/>
    </row>
    <row r="178">
      <c r="A178" s="18">
        <f>IF(F178&lt;&gt;"",ROW()-4,"")</f>
        <v/>
      </c>
      <c r="B178" s="15" t="n"/>
      <c r="C178" s="4" t="n"/>
      <c r="D178" s="4" t="n"/>
      <c r="E178" s="4" t="n"/>
      <c r="F178" s="16" t="n"/>
      <c r="G178" s="4" t="n"/>
      <c r="H178" s="4" t="n"/>
      <c r="I178" s="4" t="n"/>
      <c r="J178" s="4" t="n"/>
    </row>
    <row r="179">
      <c r="A179" s="14">
        <f>IF(F179&lt;&gt;"",ROW()-4,"")</f>
        <v/>
      </c>
      <c r="B179" s="15" t="n"/>
      <c r="C179" s="4" t="n"/>
      <c r="D179" s="4" t="n"/>
      <c r="E179" s="4" t="n"/>
      <c r="F179" s="16" t="n"/>
      <c r="G179" s="4" t="n"/>
      <c r="H179" s="4" t="n"/>
      <c r="I179" s="4" t="n"/>
      <c r="J179" s="4" t="n"/>
    </row>
    <row r="180">
      <c r="A180" s="18">
        <f>IF(F180&lt;&gt;"",ROW()-4,"")</f>
        <v/>
      </c>
      <c r="B180" s="15" t="n"/>
      <c r="C180" s="4" t="n"/>
      <c r="D180" s="4" t="n"/>
      <c r="E180" s="4" t="n"/>
      <c r="F180" s="16" t="n"/>
      <c r="G180" s="4" t="n"/>
      <c r="H180" s="4" t="n"/>
      <c r="I180" s="4" t="n"/>
      <c r="J180" s="4" t="n"/>
    </row>
    <row r="181">
      <c r="A181" s="14">
        <f>IF(F181&lt;&gt;"",ROW()-4,"")</f>
        <v/>
      </c>
      <c r="B181" s="15" t="n"/>
      <c r="C181" s="4" t="n"/>
      <c r="D181" s="4" t="n"/>
      <c r="E181" s="4" t="n"/>
      <c r="F181" s="16" t="n"/>
      <c r="G181" s="4" t="n"/>
      <c r="H181" s="4" t="n"/>
      <c r="I181" s="4" t="n"/>
      <c r="J181" s="4" t="n"/>
    </row>
    <row r="182">
      <c r="A182" s="18">
        <f>IF(F182&lt;&gt;"",ROW()-4,"")</f>
        <v/>
      </c>
      <c r="B182" s="15" t="n"/>
      <c r="C182" s="4" t="n"/>
      <c r="D182" s="4" t="n"/>
      <c r="E182" s="4" t="n"/>
      <c r="F182" s="16" t="n"/>
      <c r="G182" s="4" t="n"/>
      <c r="H182" s="4" t="n"/>
      <c r="I182" s="4" t="n"/>
      <c r="J182" s="4" t="n"/>
    </row>
    <row r="183">
      <c r="A183" s="14">
        <f>IF(F183&lt;&gt;"",ROW()-4,"")</f>
        <v/>
      </c>
      <c r="B183" s="15" t="n"/>
      <c r="C183" s="4" t="n"/>
      <c r="D183" s="4" t="n"/>
      <c r="E183" s="4" t="n"/>
      <c r="F183" s="16" t="n"/>
      <c r="G183" s="4" t="n"/>
      <c r="H183" s="4" t="n"/>
      <c r="I183" s="4" t="n"/>
      <c r="J183" s="4" t="n"/>
    </row>
    <row r="184">
      <c r="A184" s="18">
        <f>IF(F184&lt;&gt;"",ROW()-4,"")</f>
        <v/>
      </c>
      <c r="B184" s="15" t="n"/>
      <c r="C184" s="4" t="n"/>
      <c r="D184" s="4" t="n"/>
      <c r="E184" s="4" t="n"/>
      <c r="F184" s="16" t="n"/>
      <c r="G184" s="4" t="n"/>
      <c r="H184" s="4" t="n"/>
      <c r="I184" s="4" t="n"/>
      <c r="J184" s="4" t="n"/>
    </row>
    <row r="185">
      <c r="A185" s="14">
        <f>IF(F185&lt;&gt;"",ROW()-4,"")</f>
        <v/>
      </c>
      <c r="B185" s="15" t="n"/>
      <c r="C185" s="4" t="n"/>
      <c r="D185" s="4" t="n"/>
      <c r="E185" s="4" t="n"/>
      <c r="F185" s="16" t="n"/>
      <c r="G185" s="4" t="n"/>
      <c r="H185" s="4" t="n"/>
      <c r="I185" s="4" t="n"/>
      <c r="J185" s="4" t="n"/>
    </row>
    <row r="186">
      <c r="A186" s="18">
        <f>IF(F186&lt;&gt;"",ROW()-4,"")</f>
        <v/>
      </c>
      <c r="B186" s="15" t="n"/>
      <c r="C186" s="4" t="n"/>
      <c r="D186" s="4" t="n"/>
      <c r="E186" s="4" t="n"/>
      <c r="F186" s="16" t="n"/>
      <c r="G186" s="4" t="n"/>
      <c r="H186" s="4" t="n"/>
      <c r="I186" s="4" t="n"/>
      <c r="J186" s="4" t="n"/>
    </row>
    <row r="187">
      <c r="A187" s="14">
        <f>IF(F187&lt;&gt;"",ROW()-4,"")</f>
        <v/>
      </c>
      <c r="B187" s="15" t="n"/>
      <c r="C187" s="4" t="n"/>
      <c r="D187" s="4" t="n"/>
      <c r="E187" s="4" t="n"/>
      <c r="F187" s="16" t="n"/>
      <c r="G187" s="4" t="n"/>
      <c r="H187" s="4" t="n"/>
      <c r="I187" s="4" t="n"/>
      <c r="J187" s="4" t="n"/>
    </row>
    <row r="188">
      <c r="A188" s="18">
        <f>IF(F188&lt;&gt;"",ROW()-4,"")</f>
        <v/>
      </c>
      <c r="B188" s="15" t="n"/>
      <c r="C188" s="4" t="n"/>
      <c r="D188" s="4" t="n"/>
      <c r="E188" s="4" t="n"/>
      <c r="F188" s="16" t="n"/>
      <c r="G188" s="4" t="n"/>
      <c r="H188" s="4" t="n"/>
      <c r="I188" s="4" t="n"/>
      <c r="J188" s="4" t="n"/>
    </row>
    <row r="189">
      <c r="A189" s="14">
        <f>IF(F189&lt;&gt;"",ROW()-4,"")</f>
        <v/>
      </c>
      <c r="B189" s="15" t="n"/>
      <c r="C189" s="4" t="n"/>
      <c r="D189" s="4" t="n"/>
      <c r="E189" s="4" t="n"/>
      <c r="F189" s="16" t="n"/>
      <c r="G189" s="4" t="n"/>
      <c r="H189" s="4" t="n"/>
      <c r="I189" s="4" t="n"/>
      <c r="J189" s="4" t="n"/>
    </row>
    <row r="190">
      <c r="A190" s="18">
        <f>IF(F190&lt;&gt;"",ROW()-4,"")</f>
        <v/>
      </c>
      <c r="B190" s="15" t="n"/>
      <c r="C190" s="4" t="n"/>
      <c r="D190" s="4" t="n"/>
      <c r="E190" s="4" t="n"/>
      <c r="F190" s="16" t="n"/>
      <c r="G190" s="4" t="n"/>
      <c r="H190" s="4" t="n"/>
      <c r="I190" s="4" t="n"/>
      <c r="J190" s="4" t="n"/>
    </row>
    <row r="191">
      <c r="A191" s="14">
        <f>IF(F191&lt;&gt;"",ROW()-4,"")</f>
        <v/>
      </c>
      <c r="B191" s="15" t="n"/>
      <c r="C191" s="4" t="n"/>
      <c r="D191" s="4" t="n"/>
      <c r="E191" s="4" t="n"/>
      <c r="F191" s="16" t="n"/>
      <c r="G191" s="4" t="n"/>
      <c r="H191" s="4" t="n"/>
      <c r="I191" s="4" t="n"/>
      <c r="J191" s="4" t="n"/>
    </row>
    <row r="192">
      <c r="A192" s="18">
        <f>IF(F192&lt;&gt;"",ROW()-4,"")</f>
        <v/>
      </c>
      <c r="B192" s="15" t="n"/>
      <c r="C192" s="4" t="n"/>
      <c r="D192" s="4" t="n"/>
      <c r="E192" s="4" t="n"/>
      <c r="F192" s="16" t="n"/>
      <c r="G192" s="4" t="n"/>
      <c r="H192" s="4" t="n"/>
      <c r="I192" s="4" t="n"/>
      <c r="J192" s="4" t="n"/>
    </row>
    <row r="193">
      <c r="A193" s="14">
        <f>IF(F193&lt;&gt;"",ROW()-4,"")</f>
        <v/>
      </c>
      <c r="B193" s="15" t="n"/>
      <c r="C193" s="4" t="n"/>
      <c r="D193" s="4" t="n"/>
      <c r="E193" s="4" t="n"/>
      <c r="F193" s="16" t="n"/>
      <c r="G193" s="4" t="n"/>
      <c r="H193" s="4" t="n"/>
      <c r="I193" s="4" t="n"/>
      <c r="J193" s="4" t="n"/>
    </row>
    <row r="194">
      <c r="A194" s="18">
        <f>IF(F194&lt;&gt;"",ROW()-4,"")</f>
        <v/>
      </c>
      <c r="B194" s="15" t="n"/>
      <c r="C194" s="4" t="n"/>
      <c r="D194" s="4" t="n"/>
      <c r="E194" s="4" t="n"/>
      <c r="F194" s="16" t="n"/>
      <c r="G194" s="4" t="n"/>
      <c r="H194" s="4" t="n"/>
      <c r="I194" s="4" t="n"/>
      <c r="J194" s="4" t="n"/>
    </row>
    <row r="195">
      <c r="A195" s="14">
        <f>IF(F195&lt;&gt;"",ROW()-4,"")</f>
        <v/>
      </c>
      <c r="B195" s="15" t="n"/>
      <c r="C195" s="4" t="n"/>
      <c r="D195" s="4" t="n"/>
      <c r="E195" s="4" t="n"/>
      <c r="F195" s="16" t="n"/>
      <c r="G195" s="4" t="n"/>
      <c r="H195" s="4" t="n"/>
      <c r="I195" s="4" t="n"/>
      <c r="J195" s="4" t="n"/>
    </row>
    <row r="196">
      <c r="A196" s="18">
        <f>IF(F196&lt;&gt;"",ROW()-4,"")</f>
        <v/>
      </c>
      <c r="B196" s="15" t="n"/>
      <c r="C196" s="4" t="n"/>
      <c r="D196" s="4" t="n"/>
      <c r="E196" s="4" t="n"/>
      <c r="F196" s="16" t="n"/>
      <c r="G196" s="4" t="n"/>
      <c r="H196" s="4" t="n"/>
      <c r="I196" s="4" t="n"/>
      <c r="J196" s="4" t="n"/>
    </row>
    <row r="197">
      <c r="A197" s="14">
        <f>IF(F197&lt;&gt;"",ROW()-4,"")</f>
        <v/>
      </c>
      <c r="B197" s="15" t="n"/>
      <c r="C197" s="4" t="n"/>
      <c r="D197" s="4" t="n"/>
      <c r="E197" s="4" t="n"/>
      <c r="F197" s="16" t="n"/>
      <c r="G197" s="4" t="n"/>
      <c r="H197" s="4" t="n"/>
      <c r="I197" s="4" t="n"/>
      <c r="J197" s="4" t="n"/>
    </row>
    <row r="198">
      <c r="A198" s="18">
        <f>IF(F198&lt;&gt;"",ROW()-4,"")</f>
        <v/>
      </c>
      <c r="B198" s="15" t="n"/>
      <c r="C198" s="4" t="n"/>
      <c r="D198" s="4" t="n"/>
      <c r="E198" s="4" t="n"/>
      <c r="F198" s="16" t="n"/>
      <c r="G198" s="4" t="n"/>
      <c r="H198" s="4" t="n"/>
      <c r="I198" s="4" t="n"/>
      <c r="J198" s="4" t="n"/>
    </row>
    <row r="199">
      <c r="A199" s="14">
        <f>IF(F199&lt;&gt;"",ROW()-4,"")</f>
        <v/>
      </c>
      <c r="B199" s="15" t="n"/>
      <c r="C199" s="4" t="n"/>
      <c r="D199" s="4" t="n"/>
      <c r="E199" s="4" t="n"/>
      <c r="F199" s="16" t="n"/>
      <c r="G199" s="4" t="n"/>
      <c r="H199" s="4" t="n"/>
      <c r="I199" s="4" t="n"/>
      <c r="J199" s="4" t="n"/>
    </row>
    <row r="200">
      <c r="A200" s="18">
        <f>IF(F200&lt;&gt;"",ROW()-4,"")</f>
        <v/>
      </c>
      <c r="B200" s="15" t="n"/>
      <c r="C200" s="4" t="n"/>
      <c r="D200" s="4" t="n"/>
      <c r="E200" s="4" t="n"/>
      <c r="F200" s="16" t="n"/>
      <c r="G200" s="4" t="n"/>
      <c r="H200" s="4" t="n"/>
      <c r="I200" s="4" t="n"/>
      <c r="J200" s="4" t="n"/>
    </row>
    <row r="201">
      <c r="A201" s="14">
        <f>IF(F201&lt;&gt;"",ROW()-4,"")</f>
        <v/>
      </c>
      <c r="B201" s="15" t="n"/>
      <c r="C201" s="4" t="n"/>
      <c r="D201" s="4" t="n"/>
      <c r="E201" s="4" t="n"/>
      <c r="F201" s="16" t="n"/>
      <c r="G201" s="4" t="n"/>
      <c r="H201" s="4" t="n"/>
      <c r="I201" s="4" t="n"/>
      <c r="J201" s="4" t="n"/>
    </row>
    <row r="202">
      <c r="A202" s="18">
        <f>IF(F202&lt;&gt;"",ROW()-4,"")</f>
        <v/>
      </c>
      <c r="B202" s="15" t="n"/>
      <c r="C202" s="4" t="n"/>
      <c r="D202" s="4" t="n"/>
      <c r="E202" s="4" t="n"/>
      <c r="F202" s="16" t="n"/>
      <c r="G202" s="4" t="n"/>
      <c r="H202" s="4" t="n"/>
      <c r="I202" s="4" t="n"/>
      <c r="J202" s="4" t="n"/>
    </row>
    <row r="203">
      <c r="A203" s="14">
        <f>IF(F203&lt;&gt;"",ROW()-4,"")</f>
        <v/>
      </c>
      <c r="B203" s="15" t="n"/>
      <c r="C203" s="4" t="n"/>
      <c r="D203" s="4" t="n"/>
      <c r="E203" s="4" t="n"/>
      <c r="F203" s="16" t="n"/>
      <c r="G203" s="4" t="n"/>
      <c r="H203" s="4" t="n"/>
      <c r="I203" s="4" t="n"/>
      <c r="J203" s="4" t="n"/>
    </row>
    <row r="204">
      <c r="A204" s="18">
        <f>IF(F204&lt;&gt;"",ROW()-4,"")</f>
        <v/>
      </c>
      <c r="B204" s="15" t="n"/>
      <c r="C204" s="4" t="n"/>
      <c r="D204" s="4" t="n"/>
      <c r="E204" s="4" t="n"/>
      <c r="F204" s="16" t="n"/>
      <c r="G204" s="4" t="n"/>
      <c r="H204" s="4" t="n"/>
      <c r="I204" s="4" t="n"/>
      <c r="J204" s="4" t="n"/>
    </row>
    <row r="205">
      <c r="A205" s="14">
        <f>IF(F205&lt;&gt;"",ROW()-4,"")</f>
        <v/>
      </c>
      <c r="B205" s="15" t="n"/>
      <c r="C205" s="4" t="n"/>
      <c r="D205" s="4" t="n"/>
      <c r="E205" s="4" t="n"/>
      <c r="F205" s="16" t="n"/>
      <c r="G205" s="4" t="n"/>
      <c r="H205" s="4" t="n"/>
      <c r="I205" s="4" t="n"/>
      <c r="J205" s="4" t="n"/>
    </row>
    <row r="206">
      <c r="A206" s="18">
        <f>IF(F206&lt;&gt;"",ROW()-4,"")</f>
        <v/>
      </c>
      <c r="B206" s="15" t="n"/>
      <c r="C206" s="4" t="n"/>
      <c r="D206" s="4" t="n"/>
      <c r="E206" s="4" t="n"/>
      <c r="F206" s="16" t="n"/>
      <c r="G206" s="4" t="n"/>
      <c r="H206" s="4" t="n"/>
      <c r="I206" s="4" t="n"/>
      <c r="J206" s="4" t="n"/>
    </row>
    <row r="207">
      <c r="A207" s="14">
        <f>IF(F207&lt;&gt;"",ROW()-4,"")</f>
        <v/>
      </c>
      <c r="B207" s="15" t="n"/>
      <c r="C207" s="4" t="n"/>
      <c r="D207" s="4" t="n"/>
      <c r="E207" s="4" t="n"/>
      <c r="F207" s="16" t="n"/>
      <c r="G207" s="4" t="n"/>
      <c r="H207" s="4" t="n"/>
      <c r="I207" s="4" t="n"/>
      <c r="J207" s="4" t="n"/>
    </row>
    <row r="208">
      <c r="A208" s="18">
        <f>IF(F208&lt;&gt;"",ROW()-4,"")</f>
        <v/>
      </c>
      <c r="B208" s="15" t="n"/>
      <c r="C208" s="4" t="n"/>
      <c r="D208" s="4" t="n"/>
      <c r="E208" s="4" t="n"/>
      <c r="F208" s="16" t="n"/>
      <c r="G208" s="4" t="n"/>
      <c r="H208" s="4" t="n"/>
      <c r="I208" s="4" t="n"/>
      <c r="J208" s="4" t="n"/>
    </row>
    <row r="209">
      <c r="A209" s="14">
        <f>IF(F209&lt;&gt;"",ROW()-4,"")</f>
        <v/>
      </c>
      <c r="B209" s="15" t="n"/>
      <c r="C209" s="4" t="n"/>
      <c r="D209" s="4" t="n"/>
      <c r="E209" s="4" t="n"/>
      <c r="F209" s="16" t="n"/>
      <c r="G209" s="4" t="n"/>
      <c r="H209" s="4" t="n"/>
      <c r="I209" s="4" t="n"/>
      <c r="J209" s="4" t="n"/>
    </row>
    <row r="210">
      <c r="A210" s="18">
        <f>IF(F210&lt;&gt;"",ROW()-4,"")</f>
        <v/>
      </c>
      <c r="B210" s="15" t="n"/>
      <c r="C210" s="4" t="n"/>
      <c r="D210" s="4" t="n"/>
      <c r="E210" s="4" t="n"/>
      <c r="F210" s="16" t="n"/>
      <c r="G210" s="4" t="n"/>
      <c r="H210" s="4" t="n"/>
      <c r="I210" s="4" t="n"/>
      <c r="J210" s="4" t="n"/>
    </row>
    <row r="211">
      <c r="A211" s="14">
        <f>IF(F211&lt;&gt;"",ROW()-4,"")</f>
        <v/>
      </c>
      <c r="B211" s="15" t="n"/>
      <c r="C211" s="4" t="n"/>
      <c r="D211" s="4" t="n"/>
      <c r="E211" s="4" t="n"/>
      <c r="F211" s="16" t="n"/>
      <c r="G211" s="4" t="n"/>
      <c r="H211" s="4" t="n"/>
      <c r="I211" s="4" t="n"/>
      <c r="J211" s="4" t="n"/>
    </row>
    <row r="212">
      <c r="A212" s="18">
        <f>IF(F212&lt;&gt;"",ROW()-4,"")</f>
        <v/>
      </c>
      <c r="B212" s="15" t="n"/>
      <c r="C212" s="4" t="n"/>
      <c r="D212" s="4" t="n"/>
      <c r="E212" s="4" t="n"/>
      <c r="F212" s="16" t="n"/>
      <c r="G212" s="4" t="n"/>
      <c r="H212" s="4" t="n"/>
      <c r="I212" s="4" t="n"/>
      <c r="J212" s="4" t="n"/>
    </row>
    <row r="213">
      <c r="A213" s="14">
        <f>IF(F213&lt;&gt;"",ROW()-4,"")</f>
        <v/>
      </c>
      <c r="B213" s="15" t="n"/>
      <c r="C213" s="4" t="n"/>
      <c r="D213" s="4" t="n"/>
      <c r="E213" s="4" t="n"/>
      <c r="F213" s="16" t="n"/>
      <c r="G213" s="4" t="n"/>
      <c r="H213" s="4" t="n"/>
      <c r="I213" s="4" t="n"/>
      <c r="J213" s="4" t="n"/>
    </row>
    <row r="214">
      <c r="A214" s="18">
        <f>IF(F214&lt;&gt;"",ROW()-4,"")</f>
        <v/>
      </c>
      <c r="B214" s="15" t="n"/>
      <c r="C214" s="4" t="n"/>
      <c r="D214" s="4" t="n"/>
      <c r="E214" s="4" t="n"/>
      <c r="F214" s="16" t="n"/>
      <c r="G214" s="4" t="n"/>
      <c r="H214" s="4" t="n"/>
      <c r="I214" s="4" t="n"/>
      <c r="J214" s="4" t="n"/>
    </row>
    <row r="215">
      <c r="A215" s="14">
        <f>IF(F215&lt;&gt;"",ROW()-4,"")</f>
        <v/>
      </c>
      <c r="B215" s="15" t="n"/>
      <c r="C215" s="4" t="n"/>
      <c r="D215" s="4" t="n"/>
      <c r="E215" s="4" t="n"/>
      <c r="F215" s="16" t="n"/>
      <c r="G215" s="4" t="n"/>
      <c r="H215" s="4" t="n"/>
      <c r="I215" s="4" t="n"/>
      <c r="J215" s="4" t="n"/>
    </row>
    <row r="216">
      <c r="A216" s="18">
        <f>IF(F216&lt;&gt;"",ROW()-4,"")</f>
        <v/>
      </c>
      <c r="B216" s="15" t="n"/>
      <c r="C216" s="4" t="n"/>
      <c r="D216" s="4" t="n"/>
      <c r="E216" s="4" t="n"/>
      <c r="F216" s="16" t="n"/>
      <c r="G216" s="4" t="n"/>
      <c r="H216" s="4" t="n"/>
      <c r="I216" s="4" t="n"/>
      <c r="J216" s="4" t="n"/>
    </row>
    <row r="217">
      <c r="A217" s="14">
        <f>IF(F217&lt;&gt;"",ROW()-4,"")</f>
        <v/>
      </c>
      <c r="B217" s="15" t="n"/>
      <c r="C217" s="4" t="n"/>
      <c r="D217" s="4" t="n"/>
      <c r="E217" s="4" t="n"/>
      <c r="F217" s="16" t="n"/>
      <c r="G217" s="4" t="n"/>
      <c r="H217" s="4" t="n"/>
      <c r="I217" s="4" t="n"/>
      <c r="J217" s="4" t="n"/>
    </row>
    <row r="218">
      <c r="A218" s="18">
        <f>IF(F218&lt;&gt;"",ROW()-4,"")</f>
        <v/>
      </c>
      <c r="B218" s="15" t="n"/>
      <c r="C218" s="4" t="n"/>
      <c r="D218" s="4" t="n"/>
      <c r="E218" s="4" t="n"/>
      <c r="F218" s="16" t="n"/>
      <c r="G218" s="4" t="n"/>
      <c r="H218" s="4" t="n"/>
      <c r="I218" s="4" t="n"/>
      <c r="J218" s="4" t="n"/>
    </row>
    <row r="219">
      <c r="A219" s="14">
        <f>IF(F219&lt;&gt;"",ROW()-4,"")</f>
        <v/>
      </c>
      <c r="B219" s="15" t="n"/>
      <c r="C219" s="4" t="n"/>
      <c r="D219" s="4" t="n"/>
      <c r="E219" s="4" t="n"/>
      <c r="F219" s="16" t="n"/>
      <c r="G219" s="4" t="n"/>
      <c r="H219" s="4" t="n"/>
      <c r="I219" s="4" t="n"/>
      <c r="J219" s="4" t="n"/>
    </row>
    <row r="220">
      <c r="A220" s="18">
        <f>IF(F220&lt;&gt;"",ROW()-4,"")</f>
        <v/>
      </c>
      <c r="B220" s="15" t="n"/>
      <c r="C220" s="4" t="n"/>
      <c r="D220" s="4" t="n"/>
      <c r="E220" s="4" t="n"/>
      <c r="F220" s="16" t="n"/>
      <c r="G220" s="4" t="n"/>
      <c r="H220" s="4" t="n"/>
      <c r="I220" s="4" t="n"/>
      <c r="J220" s="4" t="n"/>
    </row>
    <row r="221">
      <c r="A221" s="14">
        <f>IF(F221&lt;&gt;"",ROW()-4,"")</f>
        <v/>
      </c>
      <c r="B221" s="15" t="n"/>
      <c r="C221" s="4" t="n"/>
      <c r="D221" s="4" t="n"/>
      <c r="E221" s="4" t="n"/>
      <c r="F221" s="16" t="n"/>
      <c r="G221" s="4" t="n"/>
      <c r="H221" s="4" t="n"/>
      <c r="I221" s="4" t="n"/>
      <c r="J221" s="4" t="n"/>
    </row>
    <row r="222">
      <c r="A222" s="18">
        <f>IF(F222&lt;&gt;"",ROW()-4,"")</f>
        <v/>
      </c>
      <c r="B222" s="15" t="n"/>
      <c r="C222" s="4" t="n"/>
      <c r="D222" s="4" t="n"/>
      <c r="E222" s="4" t="n"/>
      <c r="F222" s="16" t="n"/>
      <c r="G222" s="4" t="n"/>
      <c r="H222" s="4" t="n"/>
      <c r="I222" s="4" t="n"/>
      <c r="J222" s="4" t="n"/>
    </row>
    <row r="223">
      <c r="A223" s="14">
        <f>IF(F223&lt;&gt;"",ROW()-4,"")</f>
        <v/>
      </c>
      <c r="B223" s="15" t="n"/>
      <c r="C223" s="4" t="n"/>
      <c r="D223" s="4" t="n"/>
      <c r="E223" s="4" t="n"/>
      <c r="F223" s="16" t="n"/>
      <c r="G223" s="4" t="n"/>
      <c r="H223" s="4" t="n"/>
      <c r="I223" s="4" t="n"/>
      <c r="J223" s="4" t="n"/>
    </row>
    <row r="224">
      <c r="A224" s="18">
        <f>IF(F224&lt;&gt;"",ROW()-4,"")</f>
        <v/>
      </c>
      <c r="B224" s="15" t="n"/>
      <c r="C224" s="4" t="n"/>
      <c r="D224" s="4" t="n"/>
      <c r="E224" s="4" t="n"/>
      <c r="F224" s="16" t="n"/>
      <c r="G224" s="4" t="n"/>
      <c r="H224" s="4" t="n"/>
      <c r="I224" s="4" t="n"/>
      <c r="J224" s="4" t="n"/>
    </row>
    <row r="225">
      <c r="A225" s="14">
        <f>IF(F225&lt;&gt;"",ROW()-4,"")</f>
        <v/>
      </c>
      <c r="B225" s="15" t="n"/>
      <c r="C225" s="4" t="n"/>
      <c r="D225" s="4" t="n"/>
      <c r="E225" s="4" t="n"/>
      <c r="F225" s="16" t="n"/>
      <c r="G225" s="4" t="n"/>
      <c r="H225" s="4" t="n"/>
      <c r="I225" s="4" t="n"/>
      <c r="J225" s="4" t="n"/>
    </row>
    <row r="226">
      <c r="A226" s="18">
        <f>IF(F226&lt;&gt;"",ROW()-4,"")</f>
        <v/>
      </c>
      <c r="B226" s="15" t="n"/>
      <c r="C226" s="4" t="n"/>
      <c r="D226" s="4" t="n"/>
      <c r="E226" s="4" t="n"/>
      <c r="F226" s="16" t="n"/>
      <c r="G226" s="4" t="n"/>
      <c r="H226" s="4" t="n"/>
      <c r="I226" s="4" t="n"/>
      <c r="J226" s="4" t="n"/>
    </row>
    <row r="227">
      <c r="A227" s="14">
        <f>IF(F227&lt;&gt;"",ROW()-4,"")</f>
        <v/>
      </c>
      <c r="B227" s="15" t="n"/>
      <c r="C227" s="4" t="n"/>
      <c r="D227" s="4" t="n"/>
      <c r="E227" s="4" t="n"/>
      <c r="F227" s="16" t="n"/>
      <c r="G227" s="4" t="n"/>
      <c r="H227" s="4" t="n"/>
      <c r="I227" s="4" t="n"/>
      <c r="J227" s="4" t="n"/>
    </row>
    <row r="228">
      <c r="A228" s="18">
        <f>IF(F228&lt;&gt;"",ROW()-4,"")</f>
        <v/>
      </c>
      <c r="B228" s="15" t="n"/>
      <c r="C228" s="4" t="n"/>
      <c r="D228" s="4" t="n"/>
      <c r="E228" s="4" t="n"/>
      <c r="F228" s="16" t="n"/>
      <c r="G228" s="4" t="n"/>
      <c r="H228" s="4" t="n"/>
      <c r="I228" s="4" t="n"/>
      <c r="J228" s="4" t="n"/>
    </row>
    <row r="229">
      <c r="A229" s="14">
        <f>IF(F229&lt;&gt;"",ROW()-4,"")</f>
        <v/>
      </c>
      <c r="B229" s="15" t="n"/>
      <c r="C229" s="4" t="n"/>
      <c r="D229" s="4" t="n"/>
      <c r="E229" s="4" t="n"/>
      <c r="F229" s="16" t="n"/>
      <c r="G229" s="4" t="n"/>
      <c r="H229" s="4" t="n"/>
      <c r="I229" s="4" t="n"/>
      <c r="J229" s="4" t="n"/>
    </row>
    <row r="230">
      <c r="A230" s="18">
        <f>IF(F230&lt;&gt;"",ROW()-4,"")</f>
        <v/>
      </c>
      <c r="B230" s="15" t="n"/>
      <c r="C230" s="4" t="n"/>
      <c r="D230" s="4" t="n"/>
      <c r="E230" s="4" t="n"/>
      <c r="F230" s="16" t="n"/>
      <c r="G230" s="4" t="n"/>
      <c r="H230" s="4" t="n"/>
      <c r="I230" s="4" t="n"/>
      <c r="J230" s="4" t="n"/>
    </row>
    <row r="231">
      <c r="A231" s="14">
        <f>IF(F231&lt;&gt;"",ROW()-4,"")</f>
        <v/>
      </c>
      <c r="B231" s="15" t="n"/>
      <c r="C231" s="4" t="n"/>
      <c r="D231" s="4" t="n"/>
      <c r="E231" s="4" t="n"/>
      <c r="F231" s="16" t="n"/>
      <c r="G231" s="4" t="n"/>
      <c r="H231" s="4" t="n"/>
      <c r="I231" s="4" t="n"/>
      <c r="J231" s="4" t="n"/>
    </row>
    <row r="232">
      <c r="A232" s="18">
        <f>IF(F232&lt;&gt;"",ROW()-4,"")</f>
        <v/>
      </c>
      <c r="B232" s="15" t="n"/>
      <c r="C232" s="4" t="n"/>
      <c r="D232" s="4" t="n"/>
      <c r="E232" s="4" t="n"/>
      <c r="F232" s="16" t="n"/>
      <c r="G232" s="4" t="n"/>
      <c r="H232" s="4" t="n"/>
      <c r="I232" s="4" t="n"/>
      <c r="J232" s="4" t="n"/>
    </row>
    <row r="233">
      <c r="A233" s="14">
        <f>IF(F233&lt;&gt;"",ROW()-4,"")</f>
        <v/>
      </c>
      <c r="B233" s="15" t="n"/>
      <c r="C233" s="4" t="n"/>
      <c r="D233" s="4" t="n"/>
      <c r="E233" s="4" t="n"/>
      <c r="F233" s="16" t="n"/>
      <c r="G233" s="4" t="n"/>
      <c r="H233" s="4" t="n"/>
      <c r="I233" s="4" t="n"/>
      <c r="J233" s="4" t="n"/>
    </row>
    <row r="234">
      <c r="A234" s="18">
        <f>IF(F234&lt;&gt;"",ROW()-4,"")</f>
        <v/>
      </c>
      <c r="B234" s="15" t="n"/>
      <c r="C234" s="4" t="n"/>
      <c r="D234" s="4" t="n"/>
      <c r="E234" s="4" t="n"/>
      <c r="F234" s="16" t="n"/>
      <c r="G234" s="4" t="n"/>
      <c r="H234" s="4" t="n"/>
      <c r="I234" s="4" t="n"/>
      <c r="J234" s="4" t="n"/>
    </row>
    <row r="235">
      <c r="A235" s="14">
        <f>IF(F235&lt;&gt;"",ROW()-4,"")</f>
        <v/>
      </c>
      <c r="B235" s="15" t="n"/>
      <c r="C235" s="4" t="n"/>
      <c r="D235" s="4" t="n"/>
      <c r="E235" s="4" t="n"/>
      <c r="F235" s="16" t="n"/>
      <c r="G235" s="4" t="n"/>
      <c r="H235" s="4" t="n"/>
      <c r="I235" s="4" t="n"/>
      <c r="J235" s="4" t="n"/>
    </row>
    <row r="236">
      <c r="A236" s="18">
        <f>IF(F236&lt;&gt;"",ROW()-4,"")</f>
        <v/>
      </c>
      <c r="B236" s="15" t="n"/>
      <c r="C236" s="4" t="n"/>
      <c r="D236" s="4" t="n"/>
      <c r="E236" s="4" t="n"/>
      <c r="F236" s="16" t="n"/>
      <c r="G236" s="4" t="n"/>
      <c r="H236" s="4" t="n"/>
      <c r="I236" s="4" t="n"/>
      <c r="J236" s="4" t="n"/>
    </row>
    <row r="237">
      <c r="A237" s="14">
        <f>IF(F237&lt;&gt;"",ROW()-4,"")</f>
        <v/>
      </c>
      <c r="B237" s="15" t="n"/>
      <c r="C237" s="4" t="n"/>
      <c r="D237" s="4" t="n"/>
      <c r="E237" s="4" t="n"/>
      <c r="F237" s="16" t="n"/>
      <c r="G237" s="4" t="n"/>
      <c r="H237" s="4" t="n"/>
      <c r="I237" s="4" t="n"/>
      <c r="J237" s="4" t="n"/>
    </row>
    <row r="238">
      <c r="A238" s="18">
        <f>IF(F238&lt;&gt;"",ROW()-4,"")</f>
        <v/>
      </c>
      <c r="B238" s="15" t="n"/>
      <c r="C238" s="4" t="n"/>
      <c r="D238" s="4" t="n"/>
      <c r="E238" s="4" t="n"/>
      <c r="F238" s="16" t="n"/>
      <c r="G238" s="4" t="n"/>
      <c r="H238" s="4" t="n"/>
      <c r="I238" s="4" t="n"/>
      <c r="J238" s="4" t="n"/>
    </row>
    <row r="239">
      <c r="A239" s="14">
        <f>IF(F239&lt;&gt;"",ROW()-4,"")</f>
        <v/>
      </c>
      <c r="B239" s="15" t="n"/>
      <c r="C239" s="4" t="n"/>
      <c r="D239" s="4" t="n"/>
      <c r="E239" s="4" t="n"/>
      <c r="F239" s="16" t="n"/>
      <c r="G239" s="4" t="n"/>
      <c r="H239" s="4" t="n"/>
      <c r="I239" s="4" t="n"/>
      <c r="J239" s="4" t="n"/>
    </row>
    <row r="240">
      <c r="A240" s="18">
        <f>IF(F240&lt;&gt;"",ROW()-4,"")</f>
        <v/>
      </c>
      <c r="B240" s="15" t="n"/>
      <c r="C240" s="4" t="n"/>
      <c r="D240" s="4" t="n"/>
      <c r="E240" s="4" t="n"/>
      <c r="F240" s="16" t="n"/>
      <c r="G240" s="4" t="n"/>
      <c r="H240" s="4" t="n"/>
      <c r="I240" s="4" t="n"/>
      <c r="J240" s="4" t="n"/>
    </row>
    <row r="241">
      <c r="A241" s="14">
        <f>IF(F241&lt;&gt;"",ROW()-4,"")</f>
        <v/>
      </c>
      <c r="B241" s="15" t="n"/>
      <c r="C241" s="4" t="n"/>
      <c r="D241" s="4" t="n"/>
      <c r="E241" s="4" t="n"/>
      <c r="F241" s="16" t="n"/>
      <c r="G241" s="4" t="n"/>
      <c r="H241" s="4" t="n"/>
      <c r="I241" s="4" t="n"/>
      <c r="J241" s="4" t="n"/>
    </row>
    <row r="242">
      <c r="A242" s="18">
        <f>IF(F242&lt;&gt;"",ROW()-4,"")</f>
        <v/>
      </c>
      <c r="B242" s="15" t="n"/>
      <c r="C242" s="4" t="n"/>
      <c r="D242" s="4" t="n"/>
      <c r="E242" s="4" t="n"/>
      <c r="F242" s="16" t="n"/>
      <c r="G242" s="4" t="n"/>
      <c r="H242" s="4" t="n"/>
      <c r="I242" s="4" t="n"/>
      <c r="J242" s="4" t="n"/>
    </row>
    <row r="243">
      <c r="A243" s="14">
        <f>IF(F243&lt;&gt;"",ROW()-4,"")</f>
        <v/>
      </c>
      <c r="B243" s="15" t="n"/>
      <c r="C243" s="4" t="n"/>
      <c r="D243" s="4" t="n"/>
      <c r="E243" s="4" t="n"/>
      <c r="F243" s="16" t="n"/>
      <c r="G243" s="4" t="n"/>
      <c r="H243" s="4" t="n"/>
      <c r="I243" s="4" t="n"/>
      <c r="J243" s="4" t="n"/>
    </row>
    <row r="244">
      <c r="A244" s="18">
        <f>IF(F244&lt;&gt;"",ROW()-4,"")</f>
        <v/>
      </c>
      <c r="B244" s="15" t="n"/>
      <c r="C244" s="4" t="n"/>
      <c r="D244" s="4" t="n"/>
      <c r="E244" s="4" t="n"/>
      <c r="F244" s="16" t="n"/>
      <c r="G244" s="4" t="n"/>
      <c r="H244" s="4" t="n"/>
      <c r="I244" s="4" t="n"/>
      <c r="J244" s="4" t="n"/>
    </row>
    <row r="245">
      <c r="A245" s="14">
        <f>IF(F245&lt;&gt;"",ROW()-4,"")</f>
        <v/>
      </c>
      <c r="B245" s="15" t="n"/>
      <c r="C245" s="4" t="n"/>
      <c r="D245" s="4" t="n"/>
      <c r="E245" s="4" t="n"/>
      <c r="F245" s="16" t="n"/>
      <c r="G245" s="4" t="n"/>
      <c r="H245" s="4" t="n"/>
      <c r="I245" s="4" t="n"/>
      <c r="J245" s="4" t="n"/>
    </row>
    <row r="246">
      <c r="A246" s="18">
        <f>IF(F246&lt;&gt;"",ROW()-4,"")</f>
        <v/>
      </c>
      <c r="B246" s="15" t="n"/>
      <c r="C246" s="4" t="n"/>
      <c r="D246" s="4" t="n"/>
      <c r="E246" s="4" t="n"/>
      <c r="F246" s="16" t="n"/>
      <c r="G246" s="4" t="n"/>
      <c r="H246" s="4" t="n"/>
      <c r="I246" s="4" t="n"/>
      <c r="J246" s="4" t="n"/>
    </row>
    <row r="247">
      <c r="A247" s="14">
        <f>IF(F247&lt;&gt;"",ROW()-4,"")</f>
        <v/>
      </c>
      <c r="B247" s="15" t="n"/>
      <c r="C247" s="4" t="n"/>
      <c r="D247" s="4" t="n"/>
      <c r="E247" s="4" t="n"/>
      <c r="F247" s="16" t="n"/>
      <c r="G247" s="4" t="n"/>
      <c r="H247" s="4" t="n"/>
      <c r="I247" s="4" t="n"/>
      <c r="J247" s="4" t="n"/>
    </row>
    <row r="248">
      <c r="A248" s="18">
        <f>IF(F248&lt;&gt;"",ROW()-4,"")</f>
        <v/>
      </c>
      <c r="B248" s="15" t="n"/>
      <c r="C248" s="4" t="n"/>
      <c r="D248" s="4" t="n"/>
      <c r="E248" s="4" t="n"/>
      <c r="F248" s="16" t="n"/>
      <c r="G248" s="4" t="n"/>
      <c r="H248" s="4" t="n"/>
      <c r="I248" s="4" t="n"/>
      <c r="J248" s="4" t="n"/>
    </row>
    <row r="249">
      <c r="A249" s="14">
        <f>IF(F249&lt;&gt;"",ROW()-4,"")</f>
        <v/>
      </c>
      <c r="B249" s="15" t="n"/>
      <c r="C249" s="4" t="n"/>
      <c r="D249" s="4" t="n"/>
      <c r="E249" s="4" t="n"/>
      <c r="F249" s="16" t="n"/>
      <c r="G249" s="4" t="n"/>
      <c r="H249" s="4" t="n"/>
      <c r="I249" s="4" t="n"/>
      <c r="J249" s="4" t="n"/>
    </row>
    <row r="250">
      <c r="A250" s="18">
        <f>IF(F250&lt;&gt;"",ROW()-4,"")</f>
        <v/>
      </c>
      <c r="B250" s="15" t="n"/>
      <c r="C250" s="4" t="n"/>
      <c r="D250" s="4" t="n"/>
      <c r="E250" s="4" t="n"/>
      <c r="F250" s="16" t="n"/>
      <c r="G250" s="4" t="n"/>
      <c r="H250" s="4" t="n"/>
      <c r="I250" s="4" t="n"/>
      <c r="J250" s="4" t="n"/>
    </row>
    <row r="251">
      <c r="A251" s="14">
        <f>IF(F251&lt;&gt;"",ROW()-4,"")</f>
        <v/>
      </c>
      <c r="B251" s="15" t="n"/>
      <c r="C251" s="4" t="n"/>
      <c r="D251" s="4" t="n"/>
      <c r="E251" s="4" t="n"/>
      <c r="F251" s="16" t="n"/>
      <c r="G251" s="4" t="n"/>
      <c r="H251" s="4" t="n"/>
      <c r="I251" s="4" t="n"/>
      <c r="J251" s="4" t="n"/>
    </row>
    <row r="252">
      <c r="A252" s="18">
        <f>IF(F252&lt;&gt;"",ROW()-4,"")</f>
        <v/>
      </c>
      <c r="B252" s="15" t="n"/>
      <c r="C252" s="4" t="n"/>
      <c r="D252" s="4" t="n"/>
      <c r="E252" s="4" t="n"/>
      <c r="F252" s="16" t="n"/>
      <c r="G252" s="4" t="n"/>
      <c r="H252" s="4" t="n"/>
      <c r="I252" s="4" t="n"/>
      <c r="J252" s="4" t="n"/>
    </row>
    <row r="253">
      <c r="A253" s="14">
        <f>IF(F253&lt;&gt;"",ROW()-4,"")</f>
        <v/>
      </c>
      <c r="B253" s="15" t="n"/>
      <c r="C253" s="4" t="n"/>
      <c r="D253" s="4" t="n"/>
      <c r="E253" s="4" t="n"/>
      <c r="F253" s="16" t="n"/>
      <c r="G253" s="4" t="n"/>
      <c r="H253" s="4" t="n"/>
      <c r="I253" s="4" t="n"/>
      <c r="J253" s="4" t="n"/>
    </row>
    <row r="254">
      <c r="A254" s="18">
        <f>IF(F254&lt;&gt;"",ROW()-4,"")</f>
        <v/>
      </c>
      <c r="B254" s="15" t="n"/>
      <c r="C254" s="4" t="n"/>
      <c r="D254" s="4" t="n"/>
      <c r="E254" s="4" t="n"/>
      <c r="F254" s="16" t="n"/>
      <c r="G254" s="4" t="n"/>
      <c r="H254" s="4" t="n"/>
      <c r="I254" s="4" t="n"/>
      <c r="J254" s="4" t="n"/>
    </row>
    <row r="255">
      <c r="A255" s="14">
        <f>IF(F255&lt;&gt;"",ROW()-4,"")</f>
        <v/>
      </c>
      <c r="B255" s="15" t="n"/>
      <c r="C255" s="4" t="n"/>
      <c r="D255" s="4" t="n"/>
      <c r="E255" s="4" t="n"/>
      <c r="F255" s="16" t="n"/>
      <c r="G255" s="4" t="n"/>
      <c r="H255" s="4" t="n"/>
      <c r="I255" s="4" t="n"/>
      <c r="J255" s="4" t="n"/>
    </row>
    <row r="256" ht="24" customHeight="1">
      <c r="A256" s="19" t="inlineStr">
        <is>
          <t>TOTAL EXPENSES THIS MONTH</t>
        </is>
      </c>
      <c r="F256" s="11">
        <f>SUM(F5:F255)</f>
        <v/>
      </c>
      <c r="G256" s="12" t="n"/>
      <c r="H256" s="12" t="n"/>
      <c r="I256" s="12" t="n"/>
      <c r="J256" s="12" t="n"/>
    </row>
  </sheetData>
  <mergeCells count="3">
    <mergeCell ref="A1:J1"/>
    <mergeCell ref="A2:J2"/>
    <mergeCell ref="A256:E256"/>
  </mergeCells>
  <conditionalFormatting sqref="A5:J255">
    <cfRule type="expression" priority="1" dxfId="0">
      <formula>$D5="Fixed Bills"</formula>
    </cfRule>
    <cfRule type="expression" priority="2" dxfId="1">
      <formula>$D5="Food &amp; Dining"</formula>
    </cfRule>
    <cfRule type="expression" priority="3" dxfId="2">
      <formula>$D5="Transport &amp; Fuel"</formula>
    </cfRule>
    <cfRule type="expression" priority="4" dxfId="3">
      <formula>$D5="Shopping &amp; Clothing"</formula>
    </cfRule>
    <cfRule type="expression" priority="5" dxfId="4">
      <formula>$D5="Entertainment &amp; OTT"</formula>
    </cfRule>
    <cfRule type="expression" priority="6" dxfId="5">
      <formula>$D5="Groceries"</formula>
    </cfRule>
    <cfRule type="expression" priority="7" dxfId="6">
      <formula>$D5="Investment"</formula>
    </cfRule>
    <cfRule type="expression" priority="8" dxfId="7">
      <formula>$D5="Added to Savings"</formula>
    </cfRule>
    <cfRule type="expression" priority="9" dxfId="8">
      <formula>$D5="Credit Card Payment"</formula>
    </cfRule>
    <cfRule type="expression" priority="10" dxfId="9">
      <formula>$D5="Miscellaneous"</formula>
    </cfRule>
  </conditionalFormatting>
  <dataValidations count="5">
    <dataValidation sqref="D5:D255" showErrorMessage="1" showInputMessage="1" allowBlank="1" errorTitle="Invalid Category" error="Pick a category from the list" type="list">
      <formula1>_Lists!$A$1:$A$10</formula1>
    </dataValidation>
    <dataValidation sqref="E5:E255" showErrorMessage="1" showDropDown="0" showInputMessage="1" allowBlank="1" type="list">
      <formula1>_Lists!$O$1:$O$41</formula1>
    </dataValidation>
    <dataValidation sqref="G5:G255" showErrorMessage="1" showInputMessage="1" allowBlank="1" type="list">
      <formula1>_Lists!$Q$1:$Q$8</formula1>
    </dataValidation>
    <dataValidation sqref="H5:H255" showErrorMessage="1" showInputMessage="1" allowBlank="1" type="list">
      <formula1>Setup!$D$5:$D$9</formula1>
    </dataValidation>
    <dataValidation sqref="I5:I255" showErrorMessage="1" showInputMessage="1" allowBlank="1" type="list">
      <formula1>_Lists!$R$1:$R$10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22" customWidth="1" min="4" max="4"/>
    <col width="22" customWidth="1" min="5" max="5"/>
    <col width="14" customWidth="1" min="6" max="6"/>
    <col width="20" customWidth="1" min="7" max="7"/>
    <col width="20" customWidth="1" min="8" max="8"/>
    <col width="22" customWidth="1" min="9" max="9"/>
    <col width="22" customWidth="1" min="10" max="10"/>
    <col width="2" customWidth="1" min="11" max="11"/>
    <col width="26" customWidth="1" min="12" max="12"/>
    <col width="16" customWidth="1" min="13" max="13"/>
  </cols>
  <sheetData>
    <row r="1" ht="36" customHeight="1">
      <c r="A1" s="1" t="inlineStr">
        <is>
          <t>📝  OCTOBER — EXPENSE LOG</t>
        </is>
      </c>
    </row>
    <row r="2" ht="32" customHeight="1">
      <c r="A2" s="13" t="inlineStr">
        <is>
          <t>ℹ️  Date is DateTime. Category dropdown → Sub-category changes automatically. 'Added to Savings' → pick your saving account in Sub-category. CC spend → pick card in 'CC Name'. CC payment → increases card limit.</t>
        </is>
      </c>
    </row>
    <row r="4" ht="28" customHeight="1">
      <c r="A4" s="3" t="inlineStr">
        <is>
          <t>#</t>
        </is>
      </c>
      <c r="B4" s="3" t="inlineStr">
        <is>
          <t>Date &amp; Time</t>
        </is>
      </c>
      <c r="C4" s="3" t="inlineStr">
        <is>
          <t>Description</t>
        </is>
      </c>
      <c r="D4" s="3" t="inlineStr">
        <is>
          <t>Category</t>
        </is>
      </c>
      <c r="E4" s="3" t="inlineStr">
        <is>
          <t>Sub-category</t>
        </is>
      </c>
      <c r="F4" s="3" t="inlineStr">
        <is>
          <t>Amount (₹)</t>
        </is>
      </c>
      <c r="G4" s="3" t="inlineStr">
        <is>
          <t>Paid From</t>
        </is>
      </c>
      <c r="H4" s="3" t="inlineStr">
        <is>
          <t>CC Name</t>
        </is>
      </c>
      <c r="I4" s="3" t="inlineStr">
        <is>
          <t>Account</t>
        </is>
      </c>
      <c r="J4" s="3" t="inlineStr">
        <is>
          <t>Notes</t>
        </is>
      </c>
      <c r="L4" s="3" t="inlineStr">
        <is>
          <t>📊  October Summary</t>
        </is>
      </c>
      <c r="M4" s="3" t="inlineStr">
        <is>
          <t>Amount (₹)</t>
        </is>
      </c>
    </row>
    <row r="5" ht="22" customHeight="1">
      <c r="A5" s="14">
        <f>IF(F5&lt;&gt;"",ROW()-4,"")</f>
        <v/>
      </c>
      <c r="B5" s="15" t="n"/>
      <c r="C5" s="4" t="n"/>
      <c r="D5" s="4" t="n"/>
      <c r="E5" s="4" t="n"/>
      <c r="F5" s="16" t="n"/>
      <c r="G5" s="4" t="n"/>
      <c r="H5" s="4" t="n"/>
      <c r="I5" s="4" t="n"/>
      <c r="J5" s="4" t="n"/>
      <c r="L5" s="17" t="inlineStr">
        <is>
          <t>Total Expenses</t>
        </is>
      </c>
      <c r="M5" s="9">
        <f>F256</f>
        <v/>
      </c>
    </row>
    <row r="6" ht="22" customHeight="1">
      <c r="A6" s="18">
        <f>IF(F6&lt;&gt;"",ROW()-4,"")</f>
        <v/>
      </c>
      <c r="B6" s="15" t="n"/>
      <c r="C6" s="4" t="n"/>
      <c r="D6" s="4" t="n"/>
      <c r="E6" s="4" t="n"/>
      <c r="F6" s="16" t="n"/>
      <c r="G6" s="4" t="n"/>
      <c r="H6" s="4" t="n"/>
      <c r="I6" s="4" t="n"/>
      <c r="J6" s="4" t="n"/>
      <c r="L6" s="17" t="inlineStr">
        <is>
          <t>Income This Month</t>
        </is>
      </c>
      <c r="M6" s="9">
        <f>Income!E10</f>
        <v/>
      </c>
    </row>
    <row r="7" ht="22" customHeight="1">
      <c r="A7" s="14">
        <f>IF(F7&lt;&gt;"",ROW()-4,"")</f>
        <v/>
      </c>
      <c r="B7" s="15" t="n"/>
      <c r="C7" s="4" t="n"/>
      <c r="D7" s="4" t="n"/>
      <c r="E7" s="4" t="n"/>
      <c r="F7" s="16" t="n"/>
      <c r="G7" s="4" t="n"/>
      <c r="H7" s="4" t="n"/>
      <c r="I7" s="4" t="n"/>
      <c r="J7" s="4" t="n"/>
      <c r="L7" s="17" t="inlineStr">
        <is>
          <t>Net This Month</t>
        </is>
      </c>
      <c r="M7" s="9">
        <f>M6-M5</f>
        <v/>
      </c>
    </row>
    <row r="8" ht="22" customHeight="1">
      <c r="A8" s="18">
        <f>IF(F8&lt;&gt;"",ROW()-4,"")</f>
        <v/>
      </c>
      <c r="B8" s="15" t="n"/>
      <c r="C8" s="4" t="n"/>
      <c r="D8" s="4" t="n"/>
      <c r="E8" s="4" t="n"/>
      <c r="F8" s="16" t="n"/>
      <c r="G8" s="4" t="n"/>
      <c r="H8" s="4" t="n"/>
      <c r="I8" s="4" t="n"/>
      <c r="J8" s="4" t="n"/>
      <c r="L8" s="17" t="inlineStr">
        <is>
          <t>Savings 1 (this month)</t>
        </is>
      </c>
      <c r="M8" s="9">
        <f>IF(Setup!A13&lt;&gt;"",SUMIFS(F5:F255,D5:D255,"Added to Savings",I5:I255,Setup!A13)-SUMIFS(F5:F255,G5:G255,Setup!A13),"")</f>
        <v/>
      </c>
    </row>
    <row r="9" ht="22" customHeight="1">
      <c r="A9" s="14">
        <f>IF(F9&lt;&gt;"",ROW()-4,"")</f>
        <v/>
      </c>
      <c r="B9" s="15" t="n"/>
      <c r="C9" s="4" t="n"/>
      <c r="D9" s="4" t="n"/>
      <c r="E9" s="4" t="n"/>
      <c r="F9" s="16" t="n"/>
      <c r="G9" s="4" t="n"/>
      <c r="H9" s="4" t="n"/>
      <c r="I9" s="4" t="n"/>
      <c r="J9" s="4" t="n"/>
      <c r="L9" s="17" t="inlineStr">
        <is>
          <t>Savings 1 (balance)</t>
        </is>
      </c>
      <c r="M9" s="9">
        <f>IF(Setup!A13&lt;&gt;"",Setup!B13+(SUMIFS('April'!F5:F64,'April'!D5:D64,"Added to Savings",'April'!I5:I64,Setup!A13)+SUMIFS('May'!F5:F64,'May'!D5:D64,"Added to Savings",'May'!I5:I64,Setup!A13)+SUMIFS('June'!F5:F64,'June'!D5:D64,"Added to Savings",'June'!I5:I64,Setup!A13)+SUMIFS('July'!F5:F64,'July'!D5:D64,"Added to Savings",'July'!I5:I64,Setup!A13)+SUMIFS('August'!F5:F64,'August'!D5:D64,"Added to Savings",'August'!I5:I64,Setup!A13)+SUMIFS('September'!F5:F64,'September'!D5:D64,"Added to Savings",'September'!I5:I64,Setup!A13)+SUMIFS('October'!F5:F64,'October'!D5:D64,"Added to Savings",'October'!I5:I64,Setup!A13))-(SUMIFS('April'!F5:F64,'April'!G5:G64,Setup!A13)+SUMIFS('May'!F5:F64,'May'!G5:G64,Setup!A13)+SUMIFS('June'!F5:F64,'June'!G5:G64,Setup!A13)+SUMIFS('July'!F5:F64,'July'!G5:G64,Setup!A13)+SUMIFS('August'!F5:F64,'August'!G5:G64,Setup!A13)+SUMIFS('September'!F5:F64,'September'!G5:G64,Setup!A13)+SUMIFS('October'!F5:F64,'October'!G5:G64,Setup!A13)),"")</f>
        <v/>
      </c>
    </row>
    <row r="10" ht="22" customHeight="1">
      <c r="A10" s="18">
        <f>IF(F10&lt;&gt;"",ROW()-4,"")</f>
        <v/>
      </c>
      <c r="B10" s="15" t="n"/>
      <c r="C10" s="4" t="n"/>
      <c r="D10" s="4" t="n"/>
      <c r="E10" s="4" t="n"/>
      <c r="F10" s="16" t="n"/>
      <c r="G10" s="4" t="n"/>
      <c r="H10" s="4" t="n"/>
      <c r="I10" s="4" t="n"/>
      <c r="J10" s="4" t="n"/>
      <c r="L10" s="17" t="inlineStr">
        <is>
          <t>Savings 2 (this month)</t>
        </is>
      </c>
      <c r="M10" s="9">
        <f>IF(Setup!A14&lt;&gt;"",SUMIFS(F5:F255,D5:D255,"Added to Savings",I5:I255,Setup!A14)-SUMIFS(F5:F255,G5:G255,Setup!A14),"")</f>
        <v/>
      </c>
    </row>
    <row r="11" ht="22" customHeight="1">
      <c r="A11" s="14">
        <f>IF(F11&lt;&gt;"",ROW()-4,"")</f>
        <v/>
      </c>
      <c r="B11" s="15" t="n"/>
      <c r="C11" s="4" t="n"/>
      <c r="D11" s="4" t="n"/>
      <c r="E11" s="4" t="n"/>
      <c r="F11" s="16" t="n"/>
      <c r="G11" s="4" t="n"/>
      <c r="H11" s="4" t="n"/>
      <c r="I11" s="4" t="n"/>
      <c r="J11" s="4" t="n"/>
      <c r="L11" s="17" t="inlineStr">
        <is>
          <t>Savings 2 (balance)</t>
        </is>
      </c>
      <c r="M11" s="9">
        <f>IF(Setup!A14&lt;&gt;"",Setup!B14+(SUMIFS('April'!F5:F64,'April'!D5:D64,"Added to Savings",'April'!I5:I64,Setup!A14)+SUMIFS('May'!F5:F64,'May'!D5:D64,"Added to Savings",'May'!I5:I64,Setup!A14)+SUMIFS('June'!F5:F64,'June'!D5:D64,"Added to Savings",'June'!I5:I64,Setup!A14)+SUMIFS('July'!F5:F64,'July'!D5:D64,"Added to Savings",'July'!I5:I64,Setup!A14)+SUMIFS('August'!F5:F64,'August'!D5:D64,"Added to Savings",'August'!I5:I64,Setup!A14)+SUMIFS('September'!F5:F64,'September'!D5:D64,"Added to Savings",'September'!I5:I64,Setup!A14)+SUMIFS('October'!F5:F64,'October'!D5:D64,"Added to Savings",'October'!I5:I64,Setup!A14))-(SUMIFS('April'!F5:F64,'April'!G5:G64,Setup!A14)+SUMIFS('May'!F5:F64,'May'!G5:G64,Setup!A14)+SUMIFS('June'!F5:F64,'June'!G5:G64,Setup!A14)+SUMIFS('July'!F5:F64,'July'!G5:G64,Setup!A14)+SUMIFS('August'!F5:F64,'August'!G5:G64,Setup!A14)+SUMIFS('September'!F5:F64,'September'!G5:G64,Setup!A14)+SUMIFS('October'!F5:F64,'October'!G5:G64,Setup!A14)),"")</f>
        <v/>
      </c>
    </row>
    <row r="12" ht="22" customHeight="1">
      <c r="A12" s="18">
        <f>IF(F12&lt;&gt;"",ROW()-4,"")</f>
        <v/>
      </c>
      <c r="B12" s="15" t="n"/>
      <c r="C12" s="4" t="n"/>
      <c r="D12" s="4" t="n"/>
      <c r="E12" s="4" t="n"/>
      <c r="F12" s="16" t="n"/>
      <c r="G12" s="4" t="n"/>
      <c r="H12" s="4" t="n"/>
      <c r="I12" s="4" t="n"/>
      <c r="J12" s="4" t="n"/>
      <c r="L12" s="17" t="inlineStr">
        <is>
          <t>Savings 3 (this month)</t>
        </is>
      </c>
      <c r="M12" s="9">
        <f>IF(Setup!A15&lt;&gt;"",SUMIFS(F5:F255,D5:D255,"Added to Savings",I5:I255,Setup!A15)-SUMIFS(F5:F255,G5:G255,Setup!A15),"")</f>
        <v/>
      </c>
    </row>
    <row r="13" ht="22" customHeight="1">
      <c r="A13" s="14">
        <f>IF(F13&lt;&gt;"",ROW()-4,"")</f>
        <v/>
      </c>
      <c r="B13" s="15" t="n"/>
      <c r="C13" s="4" t="n"/>
      <c r="D13" s="4" t="n"/>
      <c r="E13" s="4" t="n"/>
      <c r="F13" s="16" t="n"/>
      <c r="G13" s="4" t="n"/>
      <c r="H13" s="4" t="n"/>
      <c r="I13" s="4" t="n"/>
      <c r="J13" s="4" t="n"/>
      <c r="L13" s="17" t="inlineStr">
        <is>
          <t>Savings 3 (balance)</t>
        </is>
      </c>
      <c r="M13" s="9">
        <f>IF(Setup!A15&lt;&gt;"",Setup!B15+(SUMIFS('April'!F5:F64,'April'!D5:D64,"Added to Savings",'April'!I5:I64,Setup!A15)+SUMIFS('May'!F5:F64,'May'!D5:D64,"Added to Savings",'May'!I5:I64,Setup!A15)+SUMIFS('June'!F5:F64,'June'!D5:D64,"Added to Savings",'June'!I5:I64,Setup!A15)+SUMIFS('July'!F5:F64,'July'!D5:D64,"Added to Savings",'July'!I5:I64,Setup!A15)+SUMIFS('August'!F5:F64,'August'!D5:D64,"Added to Savings",'August'!I5:I64,Setup!A15)+SUMIFS('September'!F5:F64,'September'!D5:D64,"Added to Savings",'September'!I5:I64,Setup!A15)+SUMIFS('October'!F5:F64,'October'!D5:D64,"Added to Savings",'October'!I5:I64,Setup!A15))-(SUMIFS('April'!F5:F64,'April'!G5:G64,Setup!A15)+SUMIFS('May'!F5:F64,'May'!G5:G64,Setup!A15)+SUMIFS('June'!F5:F64,'June'!G5:G64,Setup!A15)+SUMIFS('July'!F5:F64,'July'!G5:G64,Setup!A15)+SUMIFS('August'!F5:F64,'August'!G5:G64,Setup!A15)+SUMIFS('September'!F5:F64,'September'!G5:G64,Setup!A15)+SUMIFS('October'!F5:F64,'October'!G5:G64,Setup!A15)),"")</f>
        <v/>
      </c>
    </row>
    <row r="14" ht="22" customHeight="1">
      <c r="A14" s="18">
        <f>IF(F14&lt;&gt;"",ROW()-4,"")</f>
        <v/>
      </c>
      <c r="B14" s="15" t="n"/>
      <c r="C14" s="4" t="n"/>
      <c r="D14" s="4" t="n"/>
      <c r="E14" s="4" t="n"/>
      <c r="F14" s="16" t="n"/>
      <c r="G14" s="4" t="n"/>
      <c r="H14" s="4" t="n"/>
      <c r="I14" s="4" t="n"/>
      <c r="J14" s="4" t="n"/>
      <c r="L14" s="17" t="inlineStr">
        <is>
          <t>Savings 4 (this month)</t>
        </is>
      </c>
      <c r="M14" s="9">
        <f>IF(Setup!A16&lt;&gt;"",SUMIFS(F5:F255,D5:D255,"Added to Savings",I5:I255,Setup!A16)-SUMIFS(F5:F255,G5:G255,Setup!A16),"")</f>
        <v/>
      </c>
    </row>
    <row r="15" ht="22" customHeight="1">
      <c r="A15" s="14">
        <f>IF(F15&lt;&gt;"",ROW()-4,"")</f>
        <v/>
      </c>
      <c r="B15" s="15" t="n"/>
      <c r="C15" s="4" t="n"/>
      <c r="D15" s="4" t="n"/>
      <c r="E15" s="4" t="n"/>
      <c r="F15" s="16" t="n"/>
      <c r="G15" s="4" t="n"/>
      <c r="H15" s="4" t="n"/>
      <c r="I15" s="4" t="n"/>
      <c r="J15" s="4" t="n"/>
      <c r="L15" s="17" t="inlineStr">
        <is>
          <t>Savings 4 (balance)</t>
        </is>
      </c>
      <c r="M15" s="9">
        <f>IF(Setup!A16&lt;&gt;"",Setup!B16+(SUMIFS('April'!F5:F64,'April'!D5:D64,"Added to Savings",'April'!I5:I64,Setup!A16)+SUMIFS('May'!F5:F64,'May'!D5:D64,"Added to Savings",'May'!I5:I64,Setup!A16)+SUMIFS('June'!F5:F64,'June'!D5:D64,"Added to Savings",'June'!I5:I64,Setup!A16)+SUMIFS('July'!F5:F64,'July'!D5:D64,"Added to Savings",'July'!I5:I64,Setup!A16)+SUMIFS('August'!F5:F64,'August'!D5:D64,"Added to Savings",'August'!I5:I64,Setup!A16)+SUMIFS('September'!F5:F64,'September'!D5:D64,"Added to Savings",'September'!I5:I64,Setup!A16)+SUMIFS('October'!F5:F64,'October'!D5:D64,"Added to Savings",'October'!I5:I64,Setup!A16))-(SUMIFS('April'!F5:F64,'April'!G5:G64,Setup!A16)+SUMIFS('May'!F5:F64,'May'!G5:G64,Setup!A16)+SUMIFS('June'!F5:F64,'June'!G5:G64,Setup!A16)+SUMIFS('July'!F5:F64,'July'!G5:G64,Setup!A16)+SUMIFS('August'!F5:F64,'August'!G5:G64,Setup!A16)+SUMIFS('September'!F5:F64,'September'!G5:G64,Setup!A16)+SUMIFS('October'!F5:F64,'October'!G5:G64,Setup!A16)),"")</f>
        <v/>
      </c>
    </row>
    <row r="16" ht="22" customHeight="1">
      <c r="A16" s="18">
        <f>IF(F16&lt;&gt;"",ROW()-4,"")</f>
        <v/>
      </c>
      <c r="B16" s="15" t="n"/>
      <c r="C16" s="4" t="n"/>
      <c r="D16" s="4" t="n"/>
      <c r="E16" s="4" t="n"/>
      <c r="F16" s="16" t="n"/>
      <c r="G16" s="4" t="n"/>
      <c r="H16" s="4" t="n"/>
      <c r="I16" s="4" t="n"/>
      <c r="J16" s="4" t="n"/>
      <c r="L16" s="17" t="inlineStr">
        <is>
          <t>Savings 5 (this month)</t>
        </is>
      </c>
      <c r="M16" s="9">
        <f>IF(Setup!A17&lt;&gt;"",SUMIFS(F5:F255,D5:D255,"Added to Savings",I5:I255,Setup!A17)-SUMIFS(F5:F255,G5:G255,Setup!A17),"")</f>
        <v/>
      </c>
    </row>
    <row r="17" ht="22" customHeight="1">
      <c r="A17" s="14">
        <f>IF(F17&lt;&gt;"",ROW()-4,"")</f>
        <v/>
      </c>
      <c r="B17" s="15" t="n"/>
      <c r="C17" s="4" t="n"/>
      <c r="D17" s="4" t="n"/>
      <c r="E17" s="4" t="n"/>
      <c r="F17" s="16" t="n"/>
      <c r="G17" s="4" t="n"/>
      <c r="H17" s="4" t="n"/>
      <c r="I17" s="4" t="n"/>
      <c r="J17" s="4" t="n"/>
      <c r="L17" s="17" t="inlineStr">
        <is>
          <t>Savings 5 (balance)</t>
        </is>
      </c>
      <c r="M17" s="9">
        <f>IF(Setup!A17&lt;&gt;"",Setup!B17+(SUMIFS('April'!F5:F64,'April'!D5:D64,"Added to Savings",'April'!I5:I64,Setup!A17)+SUMIFS('May'!F5:F64,'May'!D5:D64,"Added to Savings",'May'!I5:I64,Setup!A17)+SUMIFS('June'!F5:F64,'June'!D5:D64,"Added to Savings",'June'!I5:I64,Setup!A17)+SUMIFS('July'!F5:F64,'July'!D5:D64,"Added to Savings",'July'!I5:I64,Setup!A17)+SUMIFS('August'!F5:F64,'August'!D5:D64,"Added to Savings",'August'!I5:I64,Setup!A17)+SUMIFS('September'!F5:F64,'September'!D5:D64,"Added to Savings",'September'!I5:I64,Setup!A17)+SUMIFS('October'!F5:F64,'October'!D5:D64,"Added to Savings",'October'!I5:I64,Setup!A17))-(SUMIFS('April'!F5:F64,'April'!G5:G64,Setup!A17)+SUMIFS('May'!F5:F64,'May'!G5:G64,Setup!A17)+SUMIFS('June'!F5:F64,'June'!G5:G64,Setup!A17)+SUMIFS('July'!F5:F64,'July'!G5:G64,Setup!A17)+SUMIFS('August'!F5:F64,'August'!G5:G64,Setup!A17)+SUMIFS('September'!F5:F64,'September'!G5:G64,Setup!A17)+SUMIFS('October'!F5:F64,'October'!G5:G64,Setup!A17)),"")</f>
        <v/>
      </c>
    </row>
    <row r="18" ht="22" customHeight="1">
      <c r="A18" s="18">
        <f>IF(F18&lt;&gt;"",ROW()-4,"")</f>
        <v/>
      </c>
      <c r="B18" s="15" t="n"/>
      <c r="C18" s="4" t="n"/>
      <c r="D18" s="4" t="n"/>
      <c r="E18" s="4" t="n"/>
      <c r="F18" s="16" t="n"/>
      <c r="G18" s="4" t="n"/>
      <c r="H18" s="4" t="n"/>
      <c r="I18" s="4" t="n"/>
      <c r="J18" s="4" t="n"/>
      <c r="L18" s="17" t="inlineStr">
        <is>
          <t>Fixed Bills Paid</t>
        </is>
      </c>
      <c r="M18" s="9">
        <f>SUMIF(D5:D255,"Fixed Bills",F5:F255)</f>
        <v/>
      </c>
    </row>
    <row r="19" ht="22" customHeight="1">
      <c r="A19" s="14">
        <f>IF(F19&lt;&gt;"",ROW()-4,"")</f>
        <v/>
      </c>
      <c r="B19" s="15" t="n"/>
      <c r="C19" s="4" t="n"/>
      <c r="D19" s="4" t="n"/>
      <c r="E19" s="4" t="n"/>
      <c r="F19" s="16" t="n"/>
      <c r="G19" s="4" t="n"/>
      <c r="H19" s="4" t="n"/>
      <c r="I19" s="4" t="n"/>
      <c r="J19" s="4" t="n"/>
      <c r="L19" s="17" t="inlineStr">
        <is>
          <t>Food &amp; Dining</t>
        </is>
      </c>
      <c r="M19" s="9">
        <f>SUMIF(D5:D255,"Food &amp; Dining",F5:F255)</f>
        <v/>
      </c>
    </row>
    <row r="20" ht="22" customHeight="1">
      <c r="A20" s="18">
        <f>IF(F20&lt;&gt;"",ROW()-4,"")</f>
        <v/>
      </c>
      <c r="B20" s="15" t="n"/>
      <c r="C20" s="4" t="n"/>
      <c r="D20" s="4" t="n"/>
      <c r="E20" s="4" t="n"/>
      <c r="F20" s="16" t="n"/>
      <c r="G20" s="4" t="n"/>
      <c r="H20" s="4" t="n"/>
      <c r="I20" s="4" t="n"/>
      <c r="J20" s="4" t="n"/>
      <c r="L20" s="17" t="inlineStr">
        <is>
          <t>Transport</t>
        </is>
      </c>
      <c r="M20" s="9">
        <f>SUMIF(D5:D255,"Transport &amp; Fuel",F5:F255)</f>
        <v/>
      </c>
    </row>
    <row r="21" ht="22" customHeight="1">
      <c r="A21" s="14">
        <f>IF(F21&lt;&gt;"",ROW()-4,"")</f>
        <v/>
      </c>
      <c r="B21" s="15" t="n"/>
      <c r="C21" s="4" t="n"/>
      <c r="D21" s="4" t="n"/>
      <c r="E21" s="4" t="n"/>
      <c r="F21" s="16" t="n"/>
      <c r="G21" s="4" t="n"/>
      <c r="H21" s="4" t="n"/>
      <c r="I21" s="4" t="n"/>
      <c r="J21" s="4" t="n"/>
      <c r="L21" s="17" t="inlineStr">
        <is>
          <t>Groceries</t>
        </is>
      </c>
      <c r="M21" s="9">
        <f>SUMIF(D5:D255,"Groceries",F5:F255)</f>
        <v/>
      </c>
    </row>
    <row r="22" ht="22" customHeight="1">
      <c r="A22" s="18">
        <f>IF(F22&lt;&gt;"",ROW()-4,"")</f>
        <v/>
      </c>
      <c r="B22" s="15" t="n"/>
      <c r="C22" s="4" t="n"/>
      <c r="D22" s="4" t="n"/>
      <c r="E22" s="4" t="n"/>
      <c r="F22" s="16" t="n"/>
      <c r="G22" s="4" t="n"/>
      <c r="H22" s="4" t="n"/>
      <c r="I22" s="4" t="n"/>
      <c r="J22" s="4" t="n"/>
      <c r="L22" s="17" t="inlineStr">
        <is>
          <t>Shopping</t>
        </is>
      </c>
      <c r="M22" s="9">
        <f>SUMIF(D5:D255,"Shopping &amp; Clothing",F5:F255)</f>
        <v/>
      </c>
    </row>
    <row r="23" ht="22" customHeight="1">
      <c r="A23" s="14">
        <f>IF(F23&lt;&gt;"",ROW()-4,"")</f>
        <v/>
      </c>
      <c r="B23" s="15" t="n"/>
      <c r="C23" s="4" t="n"/>
      <c r="D23" s="4" t="n"/>
      <c r="E23" s="4" t="n"/>
      <c r="F23" s="16" t="n"/>
      <c r="G23" s="4" t="n"/>
      <c r="H23" s="4" t="n"/>
      <c r="I23" s="4" t="n"/>
      <c r="J23" s="4" t="n"/>
      <c r="L23" s="17" t="inlineStr">
        <is>
          <t>Entertainment</t>
        </is>
      </c>
      <c r="M23" s="9">
        <f>SUMIF(D5:D255,"Entertainment &amp; OTT",F5:F255)</f>
        <v/>
      </c>
    </row>
    <row r="24" ht="22" customHeight="1">
      <c r="A24" s="18">
        <f>IF(F24&lt;&gt;"",ROW()-4,"")</f>
        <v/>
      </c>
      <c r="B24" s="15" t="n"/>
      <c r="C24" s="4" t="n"/>
      <c r="D24" s="4" t="n"/>
      <c r="E24" s="4" t="n"/>
      <c r="F24" s="16" t="n"/>
      <c r="G24" s="4" t="n"/>
      <c r="H24" s="4" t="n"/>
      <c r="I24" s="4" t="n"/>
      <c r="J24" s="4" t="n"/>
      <c r="L24" s="17" t="inlineStr">
        <is>
          <t>Investment</t>
        </is>
      </c>
      <c r="M24" s="9">
        <f>SUMIF(D5:D255,"Investment",F5:F255)</f>
        <v/>
      </c>
    </row>
    <row r="25" ht="22" customHeight="1">
      <c r="A25" s="14">
        <f>IF(F25&lt;&gt;"",ROW()-4,"")</f>
        <v/>
      </c>
      <c r="B25" s="15" t="n"/>
      <c r="C25" s="4" t="n"/>
      <c r="D25" s="4" t="n"/>
      <c r="E25" s="4" t="n"/>
      <c r="F25" s="16" t="n"/>
      <c r="G25" s="4" t="n"/>
      <c r="H25" s="4" t="n"/>
      <c r="I25" s="4" t="n"/>
      <c r="J25" s="4" t="n"/>
      <c r="L25" s="17" t="inlineStr">
        <is>
          <t>Added to Savings</t>
        </is>
      </c>
      <c r="M25" s="9">
        <f>SUMIF(D5:D255,"Added to Savings",F5:F255)</f>
        <v/>
      </c>
    </row>
    <row r="26" ht="22" customHeight="1">
      <c r="A26" s="18">
        <f>IF(F26&lt;&gt;"",ROW()-4,"")</f>
        <v/>
      </c>
      <c r="B26" s="15" t="n"/>
      <c r="C26" s="4" t="n"/>
      <c r="D26" s="4" t="n"/>
      <c r="E26" s="4" t="n"/>
      <c r="F26" s="16" t="n"/>
      <c r="G26" s="4" t="n"/>
      <c r="H26" s="4" t="n"/>
      <c r="I26" s="4" t="n"/>
      <c r="J26" s="4" t="n"/>
      <c r="L26" s="17" t="inlineStr">
        <is>
          <t>CC Payments</t>
        </is>
      </c>
      <c r="M26" s="9">
        <f>SUMIF(D5:D255,"Credit Card Payment",F5:F255)</f>
        <v/>
      </c>
    </row>
    <row r="27" ht="22" customHeight="1">
      <c r="A27" s="14">
        <f>IF(F27&lt;&gt;"",ROW()-4,"")</f>
        <v/>
      </c>
      <c r="B27" s="15" t="n"/>
      <c r="C27" s="4" t="n"/>
      <c r="D27" s="4" t="n"/>
      <c r="E27" s="4" t="n"/>
      <c r="F27" s="16" t="n"/>
      <c r="G27" s="4" t="n"/>
      <c r="H27" s="4" t="n"/>
      <c r="I27" s="4" t="n"/>
      <c r="J27" s="4" t="n"/>
      <c r="L27" s="17" t="inlineStr">
        <is>
          <t>Miscellaneous</t>
        </is>
      </c>
      <c r="M27" s="9">
        <f>SUMIF(D5:D255,"Miscellaneous",F5:F255)</f>
        <v/>
      </c>
    </row>
    <row r="28">
      <c r="A28" s="18">
        <f>IF(F28&lt;&gt;"",ROW()-4,"")</f>
        <v/>
      </c>
      <c r="B28" s="15" t="n"/>
      <c r="C28" s="4" t="n"/>
      <c r="D28" s="4" t="n"/>
      <c r="E28" s="4" t="n"/>
      <c r="F28" s="16" t="n"/>
      <c r="G28" s="4" t="n"/>
      <c r="H28" s="4" t="n"/>
      <c r="I28" s="4" t="n"/>
      <c r="J28" s="4" t="n"/>
    </row>
    <row r="29">
      <c r="A29" s="14">
        <f>IF(F29&lt;&gt;"",ROW()-4,"")</f>
        <v/>
      </c>
      <c r="B29" s="15" t="n"/>
      <c r="C29" s="4" t="n"/>
      <c r="D29" s="4" t="n"/>
      <c r="E29" s="4" t="n"/>
      <c r="F29" s="16" t="n"/>
      <c r="G29" s="4" t="n"/>
      <c r="H29" s="4" t="n"/>
      <c r="I29" s="4" t="n"/>
      <c r="J29" s="4" t="n"/>
    </row>
    <row r="30">
      <c r="A30" s="18">
        <f>IF(F30&lt;&gt;"",ROW()-4,"")</f>
        <v/>
      </c>
      <c r="B30" s="15" t="n"/>
      <c r="C30" s="4" t="n"/>
      <c r="D30" s="4" t="n"/>
      <c r="E30" s="4" t="n"/>
      <c r="F30" s="16" t="n"/>
      <c r="G30" s="4" t="n"/>
      <c r="H30" s="4" t="n"/>
      <c r="I30" s="4" t="n"/>
      <c r="J30" s="4" t="n"/>
    </row>
    <row r="31">
      <c r="A31" s="14">
        <f>IF(F31&lt;&gt;"",ROW()-4,"")</f>
        <v/>
      </c>
      <c r="B31" s="15" t="n"/>
      <c r="C31" s="4" t="n"/>
      <c r="D31" s="4" t="n"/>
      <c r="E31" s="4" t="n"/>
      <c r="F31" s="16" t="n"/>
      <c r="G31" s="4" t="n"/>
      <c r="H31" s="4" t="n"/>
      <c r="I31" s="4" t="n"/>
      <c r="J31" s="4" t="n"/>
    </row>
    <row r="32">
      <c r="A32" s="18">
        <f>IF(F32&lt;&gt;"",ROW()-4,"")</f>
        <v/>
      </c>
      <c r="B32" s="15" t="n"/>
      <c r="C32" s="4" t="n"/>
      <c r="D32" s="4" t="n"/>
      <c r="E32" s="4" t="n"/>
      <c r="F32" s="16" t="n"/>
      <c r="G32" s="4" t="n"/>
      <c r="H32" s="4" t="n"/>
      <c r="I32" s="4" t="n"/>
      <c r="J32" s="4" t="n"/>
    </row>
    <row r="33">
      <c r="A33" s="14">
        <f>IF(F33&lt;&gt;"",ROW()-4,"")</f>
        <v/>
      </c>
      <c r="B33" s="15" t="n"/>
      <c r="C33" s="4" t="n"/>
      <c r="D33" s="4" t="n"/>
      <c r="E33" s="4" t="n"/>
      <c r="F33" s="16" t="n"/>
      <c r="G33" s="4" t="n"/>
      <c r="H33" s="4" t="n"/>
      <c r="I33" s="4" t="n"/>
      <c r="J33" s="4" t="n"/>
    </row>
    <row r="34">
      <c r="A34" s="18">
        <f>IF(F34&lt;&gt;"",ROW()-4,"")</f>
        <v/>
      </c>
      <c r="B34" s="15" t="n"/>
      <c r="C34" s="4" t="n"/>
      <c r="D34" s="4" t="n"/>
      <c r="E34" s="4" t="n"/>
      <c r="F34" s="16" t="n"/>
      <c r="G34" s="4" t="n"/>
      <c r="H34" s="4" t="n"/>
      <c r="I34" s="4" t="n"/>
      <c r="J34" s="4" t="n"/>
    </row>
    <row r="35">
      <c r="A35" s="14">
        <f>IF(F35&lt;&gt;"",ROW()-4,"")</f>
        <v/>
      </c>
      <c r="B35" s="15" t="n"/>
      <c r="C35" s="4" t="n"/>
      <c r="D35" s="4" t="n"/>
      <c r="E35" s="4" t="n"/>
      <c r="F35" s="16" t="n"/>
      <c r="G35" s="4" t="n"/>
      <c r="H35" s="4" t="n"/>
      <c r="I35" s="4" t="n"/>
      <c r="J35" s="4" t="n"/>
    </row>
    <row r="36">
      <c r="A36" s="18">
        <f>IF(F36&lt;&gt;"",ROW()-4,"")</f>
        <v/>
      </c>
      <c r="B36" s="15" t="n"/>
      <c r="C36" s="4" t="n"/>
      <c r="D36" s="4" t="n"/>
      <c r="E36" s="4" t="n"/>
      <c r="F36" s="16" t="n"/>
      <c r="G36" s="4" t="n"/>
      <c r="H36" s="4" t="n"/>
      <c r="I36" s="4" t="n"/>
      <c r="J36" s="4" t="n"/>
    </row>
    <row r="37">
      <c r="A37" s="14">
        <f>IF(F37&lt;&gt;"",ROW()-4,"")</f>
        <v/>
      </c>
      <c r="B37" s="15" t="n"/>
      <c r="C37" s="4" t="n"/>
      <c r="D37" s="4" t="n"/>
      <c r="E37" s="4" t="n"/>
      <c r="F37" s="16" t="n"/>
      <c r="G37" s="4" t="n"/>
      <c r="H37" s="4" t="n"/>
      <c r="I37" s="4" t="n"/>
      <c r="J37" s="4" t="n"/>
    </row>
    <row r="38">
      <c r="A38" s="18">
        <f>IF(F38&lt;&gt;"",ROW()-4,"")</f>
        <v/>
      </c>
      <c r="B38" s="15" t="n"/>
      <c r="C38" s="4" t="n"/>
      <c r="D38" s="4" t="n"/>
      <c r="E38" s="4" t="n"/>
      <c r="F38" s="16" t="n"/>
      <c r="G38" s="4" t="n"/>
      <c r="H38" s="4" t="n"/>
      <c r="I38" s="4" t="n"/>
      <c r="J38" s="4" t="n"/>
    </row>
    <row r="39">
      <c r="A39" s="14">
        <f>IF(F39&lt;&gt;"",ROW()-4,"")</f>
        <v/>
      </c>
      <c r="B39" s="15" t="n"/>
      <c r="C39" s="4" t="n"/>
      <c r="D39" s="4" t="n"/>
      <c r="E39" s="4" t="n"/>
      <c r="F39" s="16" t="n"/>
      <c r="G39" s="4" t="n"/>
      <c r="H39" s="4" t="n"/>
      <c r="I39" s="4" t="n"/>
      <c r="J39" s="4" t="n"/>
    </row>
    <row r="40">
      <c r="A40" s="18">
        <f>IF(F40&lt;&gt;"",ROW()-4,"")</f>
        <v/>
      </c>
      <c r="B40" s="15" t="n"/>
      <c r="C40" s="4" t="n"/>
      <c r="D40" s="4" t="n"/>
      <c r="E40" s="4" t="n"/>
      <c r="F40" s="16" t="n"/>
      <c r="G40" s="4" t="n"/>
      <c r="H40" s="4" t="n"/>
      <c r="I40" s="4" t="n"/>
      <c r="J40" s="4" t="n"/>
    </row>
    <row r="41">
      <c r="A41" s="14">
        <f>IF(F41&lt;&gt;"",ROW()-4,"")</f>
        <v/>
      </c>
      <c r="B41" s="15" t="n"/>
      <c r="C41" s="4" t="n"/>
      <c r="D41" s="4" t="n"/>
      <c r="E41" s="4" t="n"/>
      <c r="F41" s="16" t="n"/>
      <c r="G41" s="4" t="n"/>
      <c r="H41" s="4" t="n"/>
      <c r="I41" s="4" t="n"/>
      <c r="J41" s="4" t="n"/>
    </row>
    <row r="42">
      <c r="A42" s="18">
        <f>IF(F42&lt;&gt;"",ROW()-4,"")</f>
        <v/>
      </c>
      <c r="B42" s="15" t="n"/>
      <c r="C42" s="4" t="n"/>
      <c r="D42" s="4" t="n"/>
      <c r="E42" s="4" t="n"/>
      <c r="F42" s="16" t="n"/>
      <c r="G42" s="4" t="n"/>
      <c r="H42" s="4" t="n"/>
      <c r="I42" s="4" t="n"/>
      <c r="J42" s="4" t="n"/>
    </row>
    <row r="43">
      <c r="A43" s="14">
        <f>IF(F43&lt;&gt;"",ROW()-4,"")</f>
        <v/>
      </c>
      <c r="B43" s="15" t="n"/>
      <c r="C43" s="4" t="n"/>
      <c r="D43" s="4" t="n"/>
      <c r="E43" s="4" t="n"/>
      <c r="F43" s="16" t="n"/>
      <c r="G43" s="4" t="n"/>
      <c r="H43" s="4" t="n"/>
      <c r="I43" s="4" t="n"/>
      <c r="J43" s="4" t="n"/>
    </row>
    <row r="44">
      <c r="A44" s="18">
        <f>IF(F44&lt;&gt;"",ROW()-4,"")</f>
        <v/>
      </c>
      <c r="B44" s="15" t="n"/>
      <c r="C44" s="4" t="n"/>
      <c r="D44" s="4" t="n"/>
      <c r="E44" s="4" t="n"/>
      <c r="F44" s="16" t="n"/>
      <c r="G44" s="4" t="n"/>
      <c r="H44" s="4" t="n"/>
      <c r="I44" s="4" t="n"/>
      <c r="J44" s="4" t="n"/>
    </row>
    <row r="45">
      <c r="A45" s="14">
        <f>IF(F45&lt;&gt;"",ROW()-4,"")</f>
        <v/>
      </c>
      <c r="B45" s="15" t="n"/>
      <c r="C45" s="4" t="n"/>
      <c r="D45" s="4" t="n"/>
      <c r="E45" s="4" t="n"/>
      <c r="F45" s="16" t="n"/>
      <c r="G45" s="4" t="n"/>
      <c r="H45" s="4" t="n"/>
      <c r="I45" s="4" t="n"/>
      <c r="J45" s="4" t="n"/>
    </row>
    <row r="46">
      <c r="A46" s="18">
        <f>IF(F46&lt;&gt;"",ROW()-4,"")</f>
        <v/>
      </c>
      <c r="B46" s="15" t="n"/>
      <c r="C46" s="4" t="n"/>
      <c r="D46" s="4" t="n"/>
      <c r="E46" s="4" t="n"/>
      <c r="F46" s="16" t="n"/>
      <c r="G46" s="4" t="n"/>
      <c r="H46" s="4" t="n"/>
      <c r="I46" s="4" t="n"/>
      <c r="J46" s="4" t="n"/>
    </row>
    <row r="47">
      <c r="A47" s="14">
        <f>IF(F47&lt;&gt;"",ROW()-4,"")</f>
        <v/>
      </c>
      <c r="B47" s="15" t="n"/>
      <c r="C47" s="4" t="n"/>
      <c r="D47" s="4" t="n"/>
      <c r="E47" s="4" t="n"/>
      <c r="F47" s="16" t="n"/>
      <c r="G47" s="4" t="n"/>
      <c r="H47" s="4" t="n"/>
      <c r="I47" s="4" t="n"/>
      <c r="J47" s="4" t="n"/>
    </row>
    <row r="48">
      <c r="A48" s="18">
        <f>IF(F48&lt;&gt;"",ROW()-4,"")</f>
        <v/>
      </c>
      <c r="B48" s="15" t="n"/>
      <c r="C48" s="4" t="n"/>
      <c r="D48" s="4" t="n"/>
      <c r="E48" s="4" t="n"/>
      <c r="F48" s="16" t="n"/>
      <c r="G48" s="4" t="n"/>
      <c r="H48" s="4" t="n"/>
      <c r="I48" s="4" t="n"/>
      <c r="J48" s="4" t="n"/>
    </row>
    <row r="49">
      <c r="A49" s="14">
        <f>IF(F49&lt;&gt;"",ROW()-4,"")</f>
        <v/>
      </c>
      <c r="B49" s="15" t="n"/>
      <c r="C49" s="4" t="n"/>
      <c r="D49" s="4" t="n"/>
      <c r="E49" s="4" t="n"/>
      <c r="F49" s="16" t="n"/>
      <c r="G49" s="4" t="n"/>
      <c r="H49" s="4" t="n"/>
      <c r="I49" s="4" t="n"/>
      <c r="J49" s="4" t="n"/>
    </row>
    <row r="50">
      <c r="A50" s="18">
        <f>IF(F50&lt;&gt;"",ROW()-4,"")</f>
        <v/>
      </c>
      <c r="B50" s="15" t="n"/>
      <c r="C50" s="4" t="n"/>
      <c r="D50" s="4" t="n"/>
      <c r="E50" s="4" t="n"/>
      <c r="F50" s="16" t="n"/>
      <c r="G50" s="4" t="n"/>
      <c r="H50" s="4" t="n"/>
      <c r="I50" s="4" t="n"/>
      <c r="J50" s="4" t="n"/>
    </row>
    <row r="51">
      <c r="A51" s="14">
        <f>IF(F51&lt;&gt;"",ROW()-4,"")</f>
        <v/>
      </c>
      <c r="B51" s="15" t="n"/>
      <c r="C51" s="4" t="n"/>
      <c r="D51" s="4" t="n"/>
      <c r="E51" s="4" t="n"/>
      <c r="F51" s="16" t="n"/>
      <c r="G51" s="4" t="n"/>
      <c r="H51" s="4" t="n"/>
      <c r="I51" s="4" t="n"/>
      <c r="J51" s="4" t="n"/>
    </row>
    <row r="52">
      <c r="A52" s="18">
        <f>IF(F52&lt;&gt;"",ROW()-4,"")</f>
        <v/>
      </c>
      <c r="B52" s="15" t="n"/>
      <c r="C52" s="4" t="n"/>
      <c r="D52" s="4" t="n"/>
      <c r="E52" s="4" t="n"/>
      <c r="F52" s="16" t="n"/>
      <c r="G52" s="4" t="n"/>
      <c r="H52" s="4" t="n"/>
      <c r="I52" s="4" t="n"/>
      <c r="J52" s="4" t="n"/>
    </row>
    <row r="53">
      <c r="A53" s="14">
        <f>IF(F53&lt;&gt;"",ROW()-4,"")</f>
        <v/>
      </c>
      <c r="B53" s="15" t="n"/>
      <c r="C53" s="4" t="n"/>
      <c r="D53" s="4" t="n"/>
      <c r="E53" s="4" t="n"/>
      <c r="F53" s="16" t="n"/>
      <c r="G53" s="4" t="n"/>
      <c r="H53" s="4" t="n"/>
      <c r="I53" s="4" t="n"/>
      <c r="J53" s="4" t="n"/>
    </row>
    <row r="54">
      <c r="A54" s="18">
        <f>IF(F54&lt;&gt;"",ROW()-4,"")</f>
        <v/>
      </c>
      <c r="B54" s="15" t="n"/>
      <c r="C54" s="4" t="n"/>
      <c r="D54" s="4" t="n"/>
      <c r="E54" s="4" t="n"/>
      <c r="F54" s="16" t="n"/>
      <c r="G54" s="4" t="n"/>
      <c r="H54" s="4" t="n"/>
      <c r="I54" s="4" t="n"/>
      <c r="J54" s="4" t="n"/>
    </row>
    <row r="55">
      <c r="A55" s="14">
        <f>IF(F55&lt;&gt;"",ROW()-4,"")</f>
        <v/>
      </c>
      <c r="B55" s="15" t="n"/>
      <c r="C55" s="4" t="n"/>
      <c r="D55" s="4" t="n"/>
      <c r="E55" s="4" t="n"/>
      <c r="F55" s="16" t="n"/>
      <c r="G55" s="4" t="n"/>
      <c r="H55" s="4" t="n"/>
      <c r="I55" s="4" t="n"/>
      <c r="J55" s="4" t="n"/>
    </row>
    <row r="56">
      <c r="A56" s="18">
        <f>IF(F56&lt;&gt;"",ROW()-4,"")</f>
        <v/>
      </c>
      <c r="B56" s="15" t="n"/>
      <c r="C56" s="4" t="n"/>
      <c r="D56" s="4" t="n"/>
      <c r="E56" s="4" t="n"/>
      <c r="F56" s="16" t="n"/>
      <c r="G56" s="4" t="n"/>
      <c r="H56" s="4" t="n"/>
      <c r="I56" s="4" t="n"/>
      <c r="J56" s="4" t="n"/>
    </row>
    <row r="57">
      <c r="A57" s="14">
        <f>IF(F57&lt;&gt;"",ROW()-4,"")</f>
        <v/>
      </c>
      <c r="B57" s="15" t="n"/>
      <c r="C57" s="4" t="n"/>
      <c r="D57" s="4" t="n"/>
      <c r="E57" s="4" t="n"/>
      <c r="F57" s="16" t="n"/>
      <c r="G57" s="4" t="n"/>
      <c r="H57" s="4" t="n"/>
      <c r="I57" s="4" t="n"/>
      <c r="J57" s="4" t="n"/>
    </row>
    <row r="58">
      <c r="A58" s="18">
        <f>IF(F58&lt;&gt;"",ROW()-4,"")</f>
        <v/>
      </c>
      <c r="B58" s="15" t="n"/>
      <c r="C58" s="4" t="n"/>
      <c r="D58" s="4" t="n"/>
      <c r="E58" s="4" t="n"/>
      <c r="F58" s="16" t="n"/>
      <c r="G58" s="4" t="n"/>
      <c r="H58" s="4" t="n"/>
      <c r="I58" s="4" t="n"/>
      <c r="J58" s="4" t="n"/>
    </row>
    <row r="59">
      <c r="A59" s="14">
        <f>IF(F59&lt;&gt;"",ROW()-4,"")</f>
        <v/>
      </c>
      <c r="B59" s="15" t="n"/>
      <c r="C59" s="4" t="n"/>
      <c r="D59" s="4" t="n"/>
      <c r="E59" s="4" t="n"/>
      <c r="F59" s="16" t="n"/>
      <c r="G59" s="4" t="n"/>
      <c r="H59" s="4" t="n"/>
      <c r="I59" s="4" t="n"/>
      <c r="J59" s="4" t="n"/>
    </row>
    <row r="60">
      <c r="A60" s="18">
        <f>IF(F60&lt;&gt;"",ROW()-4,"")</f>
        <v/>
      </c>
      <c r="B60" s="15" t="n"/>
      <c r="C60" s="4" t="n"/>
      <c r="D60" s="4" t="n"/>
      <c r="E60" s="4" t="n"/>
      <c r="F60" s="16" t="n"/>
      <c r="G60" s="4" t="n"/>
      <c r="H60" s="4" t="n"/>
      <c r="I60" s="4" t="n"/>
      <c r="J60" s="4" t="n"/>
    </row>
    <row r="61">
      <c r="A61" s="14">
        <f>IF(F61&lt;&gt;"",ROW()-4,"")</f>
        <v/>
      </c>
      <c r="B61" s="15" t="n"/>
      <c r="C61" s="4" t="n"/>
      <c r="D61" s="4" t="n"/>
      <c r="E61" s="4" t="n"/>
      <c r="F61" s="16" t="n"/>
      <c r="G61" s="4" t="n"/>
      <c r="H61" s="4" t="n"/>
      <c r="I61" s="4" t="n"/>
      <c r="J61" s="4" t="n"/>
    </row>
    <row r="62">
      <c r="A62" s="18">
        <f>IF(F62&lt;&gt;"",ROW()-4,"")</f>
        <v/>
      </c>
      <c r="B62" s="15" t="n"/>
      <c r="C62" s="4" t="n"/>
      <c r="D62" s="4" t="n"/>
      <c r="E62" s="4" t="n"/>
      <c r="F62" s="16" t="n"/>
      <c r="G62" s="4" t="n"/>
      <c r="H62" s="4" t="n"/>
      <c r="I62" s="4" t="n"/>
      <c r="J62" s="4" t="n"/>
    </row>
    <row r="63">
      <c r="A63" s="14">
        <f>IF(F63&lt;&gt;"",ROW()-4,"")</f>
        <v/>
      </c>
      <c r="B63" s="15" t="n"/>
      <c r="C63" s="4" t="n"/>
      <c r="D63" s="4" t="n"/>
      <c r="E63" s="4" t="n"/>
      <c r="F63" s="16" t="n"/>
      <c r="G63" s="4" t="n"/>
      <c r="H63" s="4" t="n"/>
      <c r="I63" s="4" t="n"/>
      <c r="J63" s="4" t="n"/>
    </row>
    <row r="64">
      <c r="A64" s="18">
        <f>IF(F64&lt;&gt;"",ROW()-4,"")</f>
        <v/>
      </c>
      <c r="B64" s="15" t="n"/>
      <c r="C64" s="4" t="n"/>
      <c r="D64" s="4" t="n"/>
      <c r="E64" s="4" t="n"/>
      <c r="F64" s="16" t="n"/>
      <c r="G64" s="4" t="n"/>
      <c r="H64" s="4" t="n"/>
      <c r="I64" s="4" t="n"/>
      <c r="J64" s="4" t="n"/>
    </row>
    <row r="65">
      <c r="A65" s="14">
        <f>IF(F65&lt;&gt;"",ROW()-4,"")</f>
        <v/>
      </c>
      <c r="B65" s="15" t="n"/>
      <c r="C65" s="4" t="n"/>
      <c r="D65" s="4" t="n"/>
      <c r="E65" s="4" t="n"/>
      <c r="F65" s="16" t="n"/>
      <c r="G65" s="4" t="n"/>
      <c r="H65" s="4" t="n"/>
      <c r="I65" s="4" t="n"/>
      <c r="J65" s="4" t="n"/>
    </row>
    <row r="66">
      <c r="A66" s="18">
        <f>IF(F66&lt;&gt;"",ROW()-4,"")</f>
        <v/>
      </c>
      <c r="B66" s="15" t="n"/>
      <c r="C66" s="4" t="n"/>
      <c r="D66" s="4" t="n"/>
      <c r="E66" s="4" t="n"/>
      <c r="F66" s="16" t="n"/>
      <c r="G66" s="4" t="n"/>
      <c r="H66" s="4" t="n"/>
      <c r="I66" s="4" t="n"/>
      <c r="J66" s="4" t="n"/>
    </row>
    <row r="67">
      <c r="A67" s="14">
        <f>IF(F67&lt;&gt;"",ROW()-4,"")</f>
        <v/>
      </c>
      <c r="B67" s="15" t="n"/>
      <c r="C67" s="4" t="n"/>
      <c r="D67" s="4" t="n"/>
      <c r="E67" s="4" t="n"/>
      <c r="F67" s="16" t="n"/>
      <c r="G67" s="4" t="n"/>
      <c r="H67" s="4" t="n"/>
      <c r="I67" s="4" t="n"/>
      <c r="J67" s="4" t="n"/>
    </row>
    <row r="68">
      <c r="A68" s="18">
        <f>IF(F68&lt;&gt;"",ROW()-4,"")</f>
        <v/>
      </c>
      <c r="B68" s="15" t="n"/>
      <c r="C68" s="4" t="n"/>
      <c r="D68" s="4" t="n"/>
      <c r="E68" s="4" t="n"/>
      <c r="F68" s="16" t="n"/>
      <c r="G68" s="4" t="n"/>
      <c r="H68" s="4" t="n"/>
      <c r="I68" s="4" t="n"/>
      <c r="J68" s="4" t="n"/>
    </row>
    <row r="69">
      <c r="A69" s="14">
        <f>IF(F69&lt;&gt;"",ROW()-4,"")</f>
        <v/>
      </c>
      <c r="B69" s="15" t="n"/>
      <c r="C69" s="4" t="n"/>
      <c r="D69" s="4" t="n"/>
      <c r="E69" s="4" t="n"/>
      <c r="F69" s="16" t="n"/>
      <c r="G69" s="4" t="n"/>
      <c r="H69" s="4" t="n"/>
      <c r="I69" s="4" t="n"/>
      <c r="J69" s="4" t="n"/>
    </row>
    <row r="70">
      <c r="A70" s="18">
        <f>IF(F70&lt;&gt;"",ROW()-4,"")</f>
        <v/>
      </c>
      <c r="B70" s="15" t="n"/>
      <c r="C70" s="4" t="n"/>
      <c r="D70" s="4" t="n"/>
      <c r="E70" s="4" t="n"/>
      <c r="F70" s="16" t="n"/>
      <c r="G70" s="4" t="n"/>
      <c r="H70" s="4" t="n"/>
      <c r="I70" s="4" t="n"/>
      <c r="J70" s="4" t="n"/>
    </row>
    <row r="71">
      <c r="A71" s="14">
        <f>IF(F71&lt;&gt;"",ROW()-4,"")</f>
        <v/>
      </c>
      <c r="B71" s="15" t="n"/>
      <c r="C71" s="4" t="n"/>
      <c r="D71" s="4" t="n"/>
      <c r="E71" s="4" t="n"/>
      <c r="F71" s="16" t="n"/>
      <c r="G71" s="4" t="n"/>
      <c r="H71" s="4" t="n"/>
      <c r="I71" s="4" t="n"/>
      <c r="J71" s="4" t="n"/>
    </row>
    <row r="72">
      <c r="A72" s="18">
        <f>IF(F72&lt;&gt;"",ROW()-4,"")</f>
        <v/>
      </c>
      <c r="B72" s="15" t="n"/>
      <c r="C72" s="4" t="n"/>
      <c r="D72" s="4" t="n"/>
      <c r="E72" s="4" t="n"/>
      <c r="F72" s="16" t="n"/>
      <c r="G72" s="4" t="n"/>
      <c r="H72" s="4" t="n"/>
      <c r="I72" s="4" t="n"/>
      <c r="J72" s="4" t="n"/>
    </row>
    <row r="73">
      <c r="A73" s="14">
        <f>IF(F73&lt;&gt;"",ROW()-4,"")</f>
        <v/>
      </c>
      <c r="B73" s="15" t="n"/>
      <c r="C73" s="4" t="n"/>
      <c r="D73" s="4" t="n"/>
      <c r="E73" s="4" t="n"/>
      <c r="F73" s="16" t="n"/>
      <c r="G73" s="4" t="n"/>
      <c r="H73" s="4" t="n"/>
      <c r="I73" s="4" t="n"/>
      <c r="J73" s="4" t="n"/>
    </row>
    <row r="74">
      <c r="A74" s="18">
        <f>IF(F74&lt;&gt;"",ROW()-4,"")</f>
        <v/>
      </c>
      <c r="B74" s="15" t="n"/>
      <c r="C74" s="4" t="n"/>
      <c r="D74" s="4" t="n"/>
      <c r="E74" s="4" t="n"/>
      <c r="F74" s="16" t="n"/>
      <c r="G74" s="4" t="n"/>
      <c r="H74" s="4" t="n"/>
      <c r="I74" s="4" t="n"/>
      <c r="J74" s="4" t="n"/>
    </row>
    <row r="75">
      <c r="A75" s="14">
        <f>IF(F75&lt;&gt;"",ROW()-4,"")</f>
        <v/>
      </c>
      <c r="B75" s="15" t="n"/>
      <c r="C75" s="4" t="n"/>
      <c r="D75" s="4" t="n"/>
      <c r="E75" s="4" t="n"/>
      <c r="F75" s="16" t="n"/>
      <c r="G75" s="4" t="n"/>
      <c r="H75" s="4" t="n"/>
      <c r="I75" s="4" t="n"/>
      <c r="J75" s="4" t="n"/>
    </row>
    <row r="76">
      <c r="A76" s="18">
        <f>IF(F76&lt;&gt;"",ROW()-4,"")</f>
        <v/>
      </c>
      <c r="B76" s="15" t="n"/>
      <c r="C76" s="4" t="n"/>
      <c r="D76" s="4" t="n"/>
      <c r="E76" s="4" t="n"/>
      <c r="F76" s="16" t="n"/>
      <c r="G76" s="4" t="n"/>
      <c r="H76" s="4" t="n"/>
      <c r="I76" s="4" t="n"/>
      <c r="J76" s="4" t="n"/>
    </row>
    <row r="77">
      <c r="A77" s="14">
        <f>IF(F77&lt;&gt;"",ROW()-4,"")</f>
        <v/>
      </c>
      <c r="B77" s="15" t="n"/>
      <c r="C77" s="4" t="n"/>
      <c r="D77" s="4" t="n"/>
      <c r="E77" s="4" t="n"/>
      <c r="F77" s="16" t="n"/>
      <c r="G77" s="4" t="n"/>
      <c r="H77" s="4" t="n"/>
      <c r="I77" s="4" t="n"/>
      <c r="J77" s="4" t="n"/>
    </row>
    <row r="78">
      <c r="A78" s="18">
        <f>IF(F78&lt;&gt;"",ROW()-4,"")</f>
        <v/>
      </c>
      <c r="B78" s="15" t="n"/>
      <c r="C78" s="4" t="n"/>
      <c r="D78" s="4" t="n"/>
      <c r="E78" s="4" t="n"/>
      <c r="F78" s="16" t="n"/>
      <c r="G78" s="4" t="n"/>
      <c r="H78" s="4" t="n"/>
      <c r="I78" s="4" t="n"/>
      <c r="J78" s="4" t="n"/>
    </row>
    <row r="79">
      <c r="A79" s="14">
        <f>IF(F79&lt;&gt;"",ROW()-4,"")</f>
        <v/>
      </c>
      <c r="B79" s="15" t="n"/>
      <c r="C79" s="4" t="n"/>
      <c r="D79" s="4" t="n"/>
      <c r="E79" s="4" t="n"/>
      <c r="F79" s="16" t="n"/>
      <c r="G79" s="4" t="n"/>
      <c r="H79" s="4" t="n"/>
      <c r="I79" s="4" t="n"/>
      <c r="J79" s="4" t="n"/>
    </row>
    <row r="80">
      <c r="A80" s="18">
        <f>IF(F80&lt;&gt;"",ROW()-4,"")</f>
        <v/>
      </c>
      <c r="B80" s="15" t="n"/>
      <c r="C80" s="4" t="n"/>
      <c r="D80" s="4" t="n"/>
      <c r="E80" s="4" t="n"/>
      <c r="F80" s="16" t="n"/>
      <c r="G80" s="4" t="n"/>
      <c r="H80" s="4" t="n"/>
      <c r="I80" s="4" t="n"/>
      <c r="J80" s="4" t="n"/>
    </row>
    <row r="81">
      <c r="A81" s="14">
        <f>IF(F81&lt;&gt;"",ROW()-4,"")</f>
        <v/>
      </c>
      <c r="B81" s="15" t="n"/>
      <c r="C81" s="4" t="n"/>
      <c r="D81" s="4" t="n"/>
      <c r="E81" s="4" t="n"/>
      <c r="F81" s="16" t="n"/>
      <c r="G81" s="4" t="n"/>
      <c r="H81" s="4" t="n"/>
      <c r="I81" s="4" t="n"/>
      <c r="J81" s="4" t="n"/>
    </row>
    <row r="82">
      <c r="A82" s="18">
        <f>IF(F82&lt;&gt;"",ROW()-4,"")</f>
        <v/>
      </c>
      <c r="B82" s="15" t="n"/>
      <c r="C82" s="4" t="n"/>
      <c r="D82" s="4" t="n"/>
      <c r="E82" s="4" t="n"/>
      <c r="F82" s="16" t="n"/>
      <c r="G82" s="4" t="n"/>
      <c r="H82" s="4" t="n"/>
      <c r="I82" s="4" t="n"/>
      <c r="J82" s="4" t="n"/>
    </row>
    <row r="83">
      <c r="A83" s="14">
        <f>IF(F83&lt;&gt;"",ROW()-4,"")</f>
        <v/>
      </c>
      <c r="B83" s="15" t="n"/>
      <c r="C83" s="4" t="n"/>
      <c r="D83" s="4" t="n"/>
      <c r="E83" s="4" t="n"/>
      <c r="F83" s="16" t="n"/>
      <c r="G83" s="4" t="n"/>
      <c r="H83" s="4" t="n"/>
      <c r="I83" s="4" t="n"/>
      <c r="J83" s="4" t="n"/>
    </row>
    <row r="84">
      <c r="A84" s="18">
        <f>IF(F84&lt;&gt;"",ROW()-4,"")</f>
        <v/>
      </c>
      <c r="B84" s="15" t="n"/>
      <c r="C84" s="4" t="n"/>
      <c r="D84" s="4" t="n"/>
      <c r="E84" s="4" t="n"/>
      <c r="F84" s="16" t="n"/>
      <c r="G84" s="4" t="n"/>
      <c r="H84" s="4" t="n"/>
      <c r="I84" s="4" t="n"/>
      <c r="J84" s="4" t="n"/>
    </row>
    <row r="85">
      <c r="A85" s="14">
        <f>IF(F85&lt;&gt;"",ROW()-4,"")</f>
        <v/>
      </c>
      <c r="B85" s="15" t="n"/>
      <c r="C85" s="4" t="n"/>
      <c r="D85" s="4" t="n"/>
      <c r="E85" s="4" t="n"/>
      <c r="F85" s="16" t="n"/>
      <c r="G85" s="4" t="n"/>
      <c r="H85" s="4" t="n"/>
      <c r="I85" s="4" t="n"/>
      <c r="J85" s="4" t="n"/>
    </row>
    <row r="86">
      <c r="A86" s="18">
        <f>IF(F86&lt;&gt;"",ROW()-4,"")</f>
        <v/>
      </c>
      <c r="B86" s="15" t="n"/>
      <c r="C86" s="4" t="n"/>
      <c r="D86" s="4" t="n"/>
      <c r="E86" s="4" t="n"/>
      <c r="F86" s="16" t="n"/>
      <c r="G86" s="4" t="n"/>
      <c r="H86" s="4" t="n"/>
      <c r="I86" s="4" t="n"/>
      <c r="J86" s="4" t="n"/>
    </row>
    <row r="87">
      <c r="A87" s="14">
        <f>IF(F87&lt;&gt;"",ROW()-4,"")</f>
        <v/>
      </c>
      <c r="B87" s="15" t="n"/>
      <c r="C87" s="4" t="n"/>
      <c r="D87" s="4" t="n"/>
      <c r="E87" s="4" t="n"/>
      <c r="F87" s="16" t="n"/>
      <c r="G87" s="4" t="n"/>
      <c r="H87" s="4" t="n"/>
      <c r="I87" s="4" t="n"/>
      <c r="J87" s="4" t="n"/>
    </row>
    <row r="88">
      <c r="A88" s="18">
        <f>IF(F88&lt;&gt;"",ROW()-4,"")</f>
        <v/>
      </c>
      <c r="B88" s="15" t="n"/>
      <c r="C88" s="4" t="n"/>
      <c r="D88" s="4" t="n"/>
      <c r="E88" s="4" t="n"/>
      <c r="F88" s="16" t="n"/>
      <c r="G88" s="4" t="n"/>
      <c r="H88" s="4" t="n"/>
      <c r="I88" s="4" t="n"/>
      <c r="J88" s="4" t="n"/>
    </row>
    <row r="89">
      <c r="A89" s="14">
        <f>IF(F89&lt;&gt;"",ROW()-4,"")</f>
        <v/>
      </c>
      <c r="B89" s="15" t="n"/>
      <c r="C89" s="4" t="n"/>
      <c r="D89" s="4" t="n"/>
      <c r="E89" s="4" t="n"/>
      <c r="F89" s="16" t="n"/>
      <c r="G89" s="4" t="n"/>
      <c r="H89" s="4" t="n"/>
      <c r="I89" s="4" t="n"/>
      <c r="J89" s="4" t="n"/>
    </row>
    <row r="90">
      <c r="A90" s="18">
        <f>IF(F90&lt;&gt;"",ROW()-4,"")</f>
        <v/>
      </c>
      <c r="B90" s="15" t="n"/>
      <c r="C90" s="4" t="n"/>
      <c r="D90" s="4" t="n"/>
      <c r="E90" s="4" t="n"/>
      <c r="F90" s="16" t="n"/>
      <c r="G90" s="4" t="n"/>
      <c r="H90" s="4" t="n"/>
      <c r="I90" s="4" t="n"/>
      <c r="J90" s="4" t="n"/>
    </row>
    <row r="91">
      <c r="A91" s="14">
        <f>IF(F91&lt;&gt;"",ROW()-4,"")</f>
        <v/>
      </c>
      <c r="B91" s="15" t="n"/>
      <c r="C91" s="4" t="n"/>
      <c r="D91" s="4" t="n"/>
      <c r="E91" s="4" t="n"/>
      <c r="F91" s="16" t="n"/>
      <c r="G91" s="4" t="n"/>
      <c r="H91" s="4" t="n"/>
      <c r="I91" s="4" t="n"/>
      <c r="J91" s="4" t="n"/>
    </row>
    <row r="92">
      <c r="A92" s="18">
        <f>IF(F92&lt;&gt;"",ROW()-4,"")</f>
        <v/>
      </c>
      <c r="B92" s="15" t="n"/>
      <c r="C92" s="4" t="n"/>
      <c r="D92" s="4" t="n"/>
      <c r="E92" s="4" t="n"/>
      <c r="F92" s="16" t="n"/>
      <c r="G92" s="4" t="n"/>
      <c r="H92" s="4" t="n"/>
      <c r="I92" s="4" t="n"/>
      <c r="J92" s="4" t="n"/>
    </row>
    <row r="93">
      <c r="A93" s="14">
        <f>IF(F93&lt;&gt;"",ROW()-4,"")</f>
        <v/>
      </c>
      <c r="B93" s="15" t="n"/>
      <c r="C93" s="4" t="n"/>
      <c r="D93" s="4" t="n"/>
      <c r="E93" s="4" t="n"/>
      <c r="F93" s="16" t="n"/>
      <c r="G93" s="4" t="n"/>
      <c r="H93" s="4" t="n"/>
      <c r="I93" s="4" t="n"/>
      <c r="J93" s="4" t="n"/>
    </row>
    <row r="94">
      <c r="A94" s="18">
        <f>IF(F94&lt;&gt;"",ROW()-4,"")</f>
        <v/>
      </c>
      <c r="B94" s="15" t="n"/>
      <c r="C94" s="4" t="n"/>
      <c r="D94" s="4" t="n"/>
      <c r="E94" s="4" t="n"/>
      <c r="F94" s="16" t="n"/>
      <c r="G94" s="4" t="n"/>
      <c r="H94" s="4" t="n"/>
      <c r="I94" s="4" t="n"/>
      <c r="J94" s="4" t="n"/>
    </row>
    <row r="95">
      <c r="A95" s="14">
        <f>IF(F95&lt;&gt;"",ROW()-4,"")</f>
        <v/>
      </c>
      <c r="B95" s="15" t="n"/>
      <c r="C95" s="4" t="n"/>
      <c r="D95" s="4" t="n"/>
      <c r="E95" s="4" t="n"/>
      <c r="F95" s="16" t="n"/>
      <c r="G95" s="4" t="n"/>
      <c r="H95" s="4" t="n"/>
      <c r="I95" s="4" t="n"/>
      <c r="J95" s="4" t="n"/>
    </row>
    <row r="96">
      <c r="A96" s="18">
        <f>IF(F96&lt;&gt;"",ROW()-4,"")</f>
        <v/>
      </c>
      <c r="B96" s="15" t="n"/>
      <c r="C96" s="4" t="n"/>
      <c r="D96" s="4" t="n"/>
      <c r="E96" s="4" t="n"/>
      <c r="F96" s="16" t="n"/>
      <c r="G96" s="4" t="n"/>
      <c r="H96" s="4" t="n"/>
      <c r="I96" s="4" t="n"/>
      <c r="J96" s="4" t="n"/>
    </row>
    <row r="97">
      <c r="A97" s="14">
        <f>IF(F97&lt;&gt;"",ROW()-4,"")</f>
        <v/>
      </c>
      <c r="B97" s="15" t="n"/>
      <c r="C97" s="4" t="n"/>
      <c r="D97" s="4" t="n"/>
      <c r="E97" s="4" t="n"/>
      <c r="F97" s="16" t="n"/>
      <c r="G97" s="4" t="n"/>
      <c r="H97" s="4" t="n"/>
      <c r="I97" s="4" t="n"/>
      <c r="J97" s="4" t="n"/>
    </row>
    <row r="98">
      <c r="A98" s="18">
        <f>IF(F98&lt;&gt;"",ROW()-4,"")</f>
        <v/>
      </c>
      <c r="B98" s="15" t="n"/>
      <c r="C98" s="4" t="n"/>
      <c r="D98" s="4" t="n"/>
      <c r="E98" s="4" t="n"/>
      <c r="F98" s="16" t="n"/>
      <c r="G98" s="4" t="n"/>
      <c r="H98" s="4" t="n"/>
      <c r="I98" s="4" t="n"/>
      <c r="J98" s="4" t="n"/>
    </row>
    <row r="99">
      <c r="A99" s="14">
        <f>IF(F99&lt;&gt;"",ROW()-4,"")</f>
        <v/>
      </c>
      <c r="B99" s="15" t="n"/>
      <c r="C99" s="4" t="n"/>
      <c r="D99" s="4" t="n"/>
      <c r="E99" s="4" t="n"/>
      <c r="F99" s="16" t="n"/>
      <c r="G99" s="4" t="n"/>
      <c r="H99" s="4" t="n"/>
      <c r="I99" s="4" t="n"/>
      <c r="J99" s="4" t="n"/>
    </row>
    <row r="100">
      <c r="A100" s="18">
        <f>IF(F100&lt;&gt;"",ROW()-4,"")</f>
        <v/>
      </c>
      <c r="B100" s="15" t="n"/>
      <c r="C100" s="4" t="n"/>
      <c r="D100" s="4" t="n"/>
      <c r="E100" s="4" t="n"/>
      <c r="F100" s="16" t="n"/>
      <c r="G100" s="4" t="n"/>
      <c r="H100" s="4" t="n"/>
      <c r="I100" s="4" t="n"/>
      <c r="J100" s="4" t="n"/>
    </row>
    <row r="101">
      <c r="A101" s="14">
        <f>IF(F101&lt;&gt;"",ROW()-4,"")</f>
        <v/>
      </c>
      <c r="B101" s="15" t="n"/>
      <c r="C101" s="4" t="n"/>
      <c r="D101" s="4" t="n"/>
      <c r="E101" s="4" t="n"/>
      <c r="F101" s="16" t="n"/>
      <c r="G101" s="4" t="n"/>
      <c r="H101" s="4" t="n"/>
      <c r="I101" s="4" t="n"/>
      <c r="J101" s="4" t="n"/>
    </row>
    <row r="102">
      <c r="A102" s="18">
        <f>IF(F102&lt;&gt;"",ROW()-4,"")</f>
        <v/>
      </c>
      <c r="B102" s="15" t="n"/>
      <c r="C102" s="4" t="n"/>
      <c r="D102" s="4" t="n"/>
      <c r="E102" s="4" t="n"/>
      <c r="F102" s="16" t="n"/>
      <c r="G102" s="4" t="n"/>
      <c r="H102" s="4" t="n"/>
      <c r="I102" s="4" t="n"/>
      <c r="J102" s="4" t="n"/>
    </row>
    <row r="103">
      <c r="A103" s="14">
        <f>IF(F103&lt;&gt;"",ROW()-4,"")</f>
        <v/>
      </c>
      <c r="B103" s="15" t="n"/>
      <c r="C103" s="4" t="n"/>
      <c r="D103" s="4" t="n"/>
      <c r="E103" s="4" t="n"/>
      <c r="F103" s="16" t="n"/>
      <c r="G103" s="4" t="n"/>
      <c r="H103" s="4" t="n"/>
      <c r="I103" s="4" t="n"/>
      <c r="J103" s="4" t="n"/>
    </row>
    <row r="104">
      <c r="A104" s="18">
        <f>IF(F104&lt;&gt;"",ROW()-4,"")</f>
        <v/>
      </c>
      <c r="B104" s="15" t="n"/>
      <c r="C104" s="4" t="n"/>
      <c r="D104" s="4" t="n"/>
      <c r="E104" s="4" t="n"/>
      <c r="F104" s="16" t="n"/>
      <c r="G104" s="4" t="n"/>
      <c r="H104" s="4" t="n"/>
      <c r="I104" s="4" t="n"/>
      <c r="J104" s="4" t="n"/>
    </row>
    <row r="105">
      <c r="A105" s="14">
        <f>IF(F105&lt;&gt;"",ROW()-4,"")</f>
        <v/>
      </c>
      <c r="B105" s="15" t="n"/>
      <c r="C105" s="4" t="n"/>
      <c r="D105" s="4" t="n"/>
      <c r="E105" s="4" t="n"/>
      <c r="F105" s="16" t="n"/>
      <c r="G105" s="4" t="n"/>
      <c r="H105" s="4" t="n"/>
      <c r="I105" s="4" t="n"/>
      <c r="J105" s="4" t="n"/>
    </row>
    <row r="106">
      <c r="A106" s="18">
        <f>IF(F106&lt;&gt;"",ROW()-4,"")</f>
        <v/>
      </c>
      <c r="B106" s="15" t="n"/>
      <c r="C106" s="4" t="n"/>
      <c r="D106" s="4" t="n"/>
      <c r="E106" s="4" t="n"/>
      <c r="F106" s="16" t="n"/>
      <c r="G106" s="4" t="n"/>
      <c r="H106" s="4" t="n"/>
      <c r="I106" s="4" t="n"/>
      <c r="J106" s="4" t="n"/>
    </row>
    <row r="107">
      <c r="A107" s="14">
        <f>IF(F107&lt;&gt;"",ROW()-4,"")</f>
        <v/>
      </c>
      <c r="B107" s="15" t="n"/>
      <c r="C107" s="4" t="n"/>
      <c r="D107" s="4" t="n"/>
      <c r="E107" s="4" t="n"/>
      <c r="F107" s="16" t="n"/>
      <c r="G107" s="4" t="n"/>
      <c r="H107" s="4" t="n"/>
      <c r="I107" s="4" t="n"/>
      <c r="J107" s="4" t="n"/>
    </row>
    <row r="108">
      <c r="A108" s="18">
        <f>IF(F108&lt;&gt;"",ROW()-4,"")</f>
        <v/>
      </c>
      <c r="B108" s="15" t="n"/>
      <c r="C108" s="4" t="n"/>
      <c r="D108" s="4" t="n"/>
      <c r="E108" s="4" t="n"/>
      <c r="F108" s="16" t="n"/>
      <c r="G108" s="4" t="n"/>
      <c r="H108" s="4" t="n"/>
      <c r="I108" s="4" t="n"/>
      <c r="J108" s="4" t="n"/>
    </row>
    <row r="109">
      <c r="A109" s="14">
        <f>IF(F109&lt;&gt;"",ROW()-4,"")</f>
        <v/>
      </c>
      <c r="B109" s="15" t="n"/>
      <c r="C109" s="4" t="n"/>
      <c r="D109" s="4" t="n"/>
      <c r="E109" s="4" t="n"/>
      <c r="F109" s="16" t="n"/>
      <c r="G109" s="4" t="n"/>
      <c r="H109" s="4" t="n"/>
      <c r="I109" s="4" t="n"/>
      <c r="J109" s="4" t="n"/>
    </row>
    <row r="110">
      <c r="A110" s="18">
        <f>IF(F110&lt;&gt;"",ROW()-4,"")</f>
        <v/>
      </c>
      <c r="B110" s="15" t="n"/>
      <c r="C110" s="4" t="n"/>
      <c r="D110" s="4" t="n"/>
      <c r="E110" s="4" t="n"/>
      <c r="F110" s="16" t="n"/>
      <c r="G110" s="4" t="n"/>
      <c r="H110" s="4" t="n"/>
      <c r="I110" s="4" t="n"/>
      <c r="J110" s="4" t="n"/>
    </row>
    <row r="111">
      <c r="A111" s="14">
        <f>IF(F111&lt;&gt;"",ROW()-4,"")</f>
        <v/>
      </c>
      <c r="B111" s="15" t="n"/>
      <c r="C111" s="4" t="n"/>
      <c r="D111" s="4" t="n"/>
      <c r="E111" s="4" t="n"/>
      <c r="F111" s="16" t="n"/>
      <c r="G111" s="4" t="n"/>
      <c r="H111" s="4" t="n"/>
      <c r="I111" s="4" t="n"/>
      <c r="J111" s="4" t="n"/>
    </row>
    <row r="112">
      <c r="A112" s="18">
        <f>IF(F112&lt;&gt;"",ROW()-4,"")</f>
        <v/>
      </c>
      <c r="B112" s="15" t="n"/>
      <c r="C112" s="4" t="n"/>
      <c r="D112" s="4" t="n"/>
      <c r="E112" s="4" t="n"/>
      <c r="F112" s="16" t="n"/>
      <c r="G112" s="4" t="n"/>
      <c r="H112" s="4" t="n"/>
      <c r="I112" s="4" t="n"/>
      <c r="J112" s="4" t="n"/>
    </row>
    <row r="113">
      <c r="A113" s="14">
        <f>IF(F113&lt;&gt;"",ROW()-4,"")</f>
        <v/>
      </c>
      <c r="B113" s="15" t="n"/>
      <c r="C113" s="4" t="n"/>
      <c r="D113" s="4" t="n"/>
      <c r="E113" s="4" t="n"/>
      <c r="F113" s="16" t="n"/>
      <c r="G113" s="4" t="n"/>
      <c r="H113" s="4" t="n"/>
      <c r="I113" s="4" t="n"/>
      <c r="J113" s="4" t="n"/>
    </row>
    <row r="114">
      <c r="A114" s="18">
        <f>IF(F114&lt;&gt;"",ROW()-4,"")</f>
        <v/>
      </c>
      <c r="B114" s="15" t="n"/>
      <c r="C114" s="4" t="n"/>
      <c r="D114" s="4" t="n"/>
      <c r="E114" s="4" t="n"/>
      <c r="F114" s="16" t="n"/>
      <c r="G114" s="4" t="n"/>
      <c r="H114" s="4" t="n"/>
      <c r="I114" s="4" t="n"/>
      <c r="J114" s="4" t="n"/>
    </row>
    <row r="115">
      <c r="A115" s="14">
        <f>IF(F115&lt;&gt;"",ROW()-4,"")</f>
        <v/>
      </c>
      <c r="B115" s="15" t="n"/>
      <c r="C115" s="4" t="n"/>
      <c r="D115" s="4" t="n"/>
      <c r="E115" s="4" t="n"/>
      <c r="F115" s="16" t="n"/>
      <c r="G115" s="4" t="n"/>
      <c r="H115" s="4" t="n"/>
      <c r="I115" s="4" t="n"/>
      <c r="J115" s="4" t="n"/>
    </row>
    <row r="116">
      <c r="A116" s="18">
        <f>IF(F116&lt;&gt;"",ROW()-4,"")</f>
        <v/>
      </c>
      <c r="B116" s="15" t="n"/>
      <c r="C116" s="4" t="n"/>
      <c r="D116" s="4" t="n"/>
      <c r="E116" s="4" t="n"/>
      <c r="F116" s="16" t="n"/>
      <c r="G116" s="4" t="n"/>
      <c r="H116" s="4" t="n"/>
      <c r="I116" s="4" t="n"/>
      <c r="J116" s="4" t="n"/>
    </row>
    <row r="117">
      <c r="A117" s="14">
        <f>IF(F117&lt;&gt;"",ROW()-4,"")</f>
        <v/>
      </c>
      <c r="B117" s="15" t="n"/>
      <c r="C117" s="4" t="n"/>
      <c r="D117" s="4" t="n"/>
      <c r="E117" s="4" t="n"/>
      <c r="F117" s="16" t="n"/>
      <c r="G117" s="4" t="n"/>
      <c r="H117" s="4" t="n"/>
      <c r="I117" s="4" t="n"/>
      <c r="J117" s="4" t="n"/>
    </row>
    <row r="118">
      <c r="A118" s="18">
        <f>IF(F118&lt;&gt;"",ROW()-4,"")</f>
        <v/>
      </c>
      <c r="B118" s="15" t="n"/>
      <c r="C118" s="4" t="n"/>
      <c r="D118" s="4" t="n"/>
      <c r="E118" s="4" t="n"/>
      <c r="F118" s="16" t="n"/>
      <c r="G118" s="4" t="n"/>
      <c r="H118" s="4" t="n"/>
      <c r="I118" s="4" t="n"/>
      <c r="J118" s="4" t="n"/>
    </row>
    <row r="119">
      <c r="A119" s="14">
        <f>IF(F119&lt;&gt;"",ROW()-4,"")</f>
        <v/>
      </c>
      <c r="B119" s="15" t="n"/>
      <c r="C119" s="4" t="n"/>
      <c r="D119" s="4" t="n"/>
      <c r="E119" s="4" t="n"/>
      <c r="F119" s="16" t="n"/>
      <c r="G119" s="4" t="n"/>
      <c r="H119" s="4" t="n"/>
      <c r="I119" s="4" t="n"/>
      <c r="J119" s="4" t="n"/>
    </row>
    <row r="120">
      <c r="A120" s="18">
        <f>IF(F120&lt;&gt;"",ROW()-4,"")</f>
        <v/>
      </c>
      <c r="B120" s="15" t="n"/>
      <c r="C120" s="4" t="n"/>
      <c r="D120" s="4" t="n"/>
      <c r="E120" s="4" t="n"/>
      <c r="F120" s="16" t="n"/>
      <c r="G120" s="4" t="n"/>
      <c r="H120" s="4" t="n"/>
      <c r="I120" s="4" t="n"/>
      <c r="J120" s="4" t="n"/>
    </row>
    <row r="121">
      <c r="A121" s="14">
        <f>IF(F121&lt;&gt;"",ROW()-4,"")</f>
        <v/>
      </c>
      <c r="B121" s="15" t="n"/>
      <c r="C121" s="4" t="n"/>
      <c r="D121" s="4" t="n"/>
      <c r="E121" s="4" t="n"/>
      <c r="F121" s="16" t="n"/>
      <c r="G121" s="4" t="n"/>
      <c r="H121" s="4" t="n"/>
      <c r="I121" s="4" t="n"/>
      <c r="J121" s="4" t="n"/>
    </row>
    <row r="122">
      <c r="A122" s="18">
        <f>IF(F122&lt;&gt;"",ROW()-4,"")</f>
        <v/>
      </c>
      <c r="B122" s="15" t="n"/>
      <c r="C122" s="4" t="n"/>
      <c r="D122" s="4" t="n"/>
      <c r="E122" s="4" t="n"/>
      <c r="F122" s="16" t="n"/>
      <c r="G122" s="4" t="n"/>
      <c r="H122" s="4" t="n"/>
      <c r="I122" s="4" t="n"/>
      <c r="J122" s="4" t="n"/>
    </row>
    <row r="123">
      <c r="A123" s="14">
        <f>IF(F123&lt;&gt;"",ROW()-4,"")</f>
        <v/>
      </c>
      <c r="B123" s="15" t="n"/>
      <c r="C123" s="4" t="n"/>
      <c r="D123" s="4" t="n"/>
      <c r="E123" s="4" t="n"/>
      <c r="F123" s="16" t="n"/>
      <c r="G123" s="4" t="n"/>
      <c r="H123" s="4" t="n"/>
      <c r="I123" s="4" t="n"/>
      <c r="J123" s="4" t="n"/>
    </row>
    <row r="124">
      <c r="A124" s="18">
        <f>IF(F124&lt;&gt;"",ROW()-4,"")</f>
        <v/>
      </c>
      <c r="B124" s="15" t="n"/>
      <c r="C124" s="4" t="n"/>
      <c r="D124" s="4" t="n"/>
      <c r="E124" s="4" t="n"/>
      <c r="F124" s="16" t="n"/>
      <c r="G124" s="4" t="n"/>
      <c r="H124" s="4" t="n"/>
      <c r="I124" s="4" t="n"/>
      <c r="J124" s="4" t="n"/>
    </row>
    <row r="125">
      <c r="A125" s="14">
        <f>IF(F125&lt;&gt;"",ROW()-4,"")</f>
        <v/>
      </c>
      <c r="B125" s="15" t="n"/>
      <c r="C125" s="4" t="n"/>
      <c r="D125" s="4" t="n"/>
      <c r="E125" s="4" t="n"/>
      <c r="F125" s="16" t="n"/>
      <c r="G125" s="4" t="n"/>
      <c r="H125" s="4" t="n"/>
      <c r="I125" s="4" t="n"/>
      <c r="J125" s="4" t="n"/>
    </row>
    <row r="126">
      <c r="A126" s="18">
        <f>IF(F126&lt;&gt;"",ROW()-4,"")</f>
        <v/>
      </c>
      <c r="B126" s="15" t="n"/>
      <c r="C126" s="4" t="n"/>
      <c r="D126" s="4" t="n"/>
      <c r="E126" s="4" t="n"/>
      <c r="F126" s="16" t="n"/>
      <c r="G126" s="4" t="n"/>
      <c r="H126" s="4" t="n"/>
      <c r="I126" s="4" t="n"/>
      <c r="J126" s="4" t="n"/>
    </row>
    <row r="127">
      <c r="A127" s="14">
        <f>IF(F127&lt;&gt;"",ROW()-4,"")</f>
        <v/>
      </c>
      <c r="B127" s="15" t="n"/>
      <c r="C127" s="4" t="n"/>
      <c r="D127" s="4" t="n"/>
      <c r="E127" s="4" t="n"/>
      <c r="F127" s="16" t="n"/>
      <c r="G127" s="4" t="n"/>
      <c r="H127" s="4" t="n"/>
      <c r="I127" s="4" t="n"/>
      <c r="J127" s="4" t="n"/>
    </row>
    <row r="128">
      <c r="A128" s="18">
        <f>IF(F128&lt;&gt;"",ROW()-4,"")</f>
        <v/>
      </c>
      <c r="B128" s="15" t="n"/>
      <c r="C128" s="4" t="n"/>
      <c r="D128" s="4" t="n"/>
      <c r="E128" s="4" t="n"/>
      <c r="F128" s="16" t="n"/>
      <c r="G128" s="4" t="n"/>
      <c r="H128" s="4" t="n"/>
      <c r="I128" s="4" t="n"/>
      <c r="J128" s="4" t="n"/>
    </row>
    <row r="129">
      <c r="A129" s="14">
        <f>IF(F129&lt;&gt;"",ROW()-4,"")</f>
        <v/>
      </c>
      <c r="B129" s="15" t="n"/>
      <c r="C129" s="4" t="n"/>
      <c r="D129" s="4" t="n"/>
      <c r="E129" s="4" t="n"/>
      <c r="F129" s="16" t="n"/>
      <c r="G129" s="4" t="n"/>
      <c r="H129" s="4" t="n"/>
      <c r="I129" s="4" t="n"/>
      <c r="J129" s="4" t="n"/>
    </row>
    <row r="130">
      <c r="A130" s="18">
        <f>IF(F130&lt;&gt;"",ROW()-4,"")</f>
        <v/>
      </c>
      <c r="B130" s="15" t="n"/>
      <c r="C130" s="4" t="n"/>
      <c r="D130" s="4" t="n"/>
      <c r="E130" s="4" t="n"/>
      <c r="F130" s="16" t="n"/>
      <c r="G130" s="4" t="n"/>
      <c r="H130" s="4" t="n"/>
      <c r="I130" s="4" t="n"/>
      <c r="J130" s="4" t="n"/>
    </row>
    <row r="131">
      <c r="A131" s="14">
        <f>IF(F131&lt;&gt;"",ROW()-4,"")</f>
        <v/>
      </c>
      <c r="B131" s="15" t="n"/>
      <c r="C131" s="4" t="n"/>
      <c r="D131" s="4" t="n"/>
      <c r="E131" s="4" t="n"/>
      <c r="F131" s="16" t="n"/>
      <c r="G131" s="4" t="n"/>
      <c r="H131" s="4" t="n"/>
      <c r="I131" s="4" t="n"/>
      <c r="J131" s="4" t="n"/>
    </row>
    <row r="132">
      <c r="A132" s="18">
        <f>IF(F132&lt;&gt;"",ROW()-4,"")</f>
        <v/>
      </c>
      <c r="B132" s="15" t="n"/>
      <c r="C132" s="4" t="n"/>
      <c r="D132" s="4" t="n"/>
      <c r="E132" s="4" t="n"/>
      <c r="F132" s="16" t="n"/>
      <c r="G132" s="4" t="n"/>
      <c r="H132" s="4" t="n"/>
      <c r="I132" s="4" t="n"/>
      <c r="J132" s="4" t="n"/>
    </row>
    <row r="133">
      <c r="A133" s="14">
        <f>IF(F133&lt;&gt;"",ROW()-4,"")</f>
        <v/>
      </c>
      <c r="B133" s="15" t="n"/>
      <c r="C133" s="4" t="n"/>
      <c r="D133" s="4" t="n"/>
      <c r="E133" s="4" t="n"/>
      <c r="F133" s="16" t="n"/>
      <c r="G133" s="4" t="n"/>
      <c r="H133" s="4" t="n"/>
      <c r="I133" s="4" t="n"/>
      <c r="J133" s="4" t="n"/>
    </row>
    <row r="134">
      <c r="A134" s="18">
        <f>IF(F134&lt;&gt;"",ROW()-4,"")</f>
        <v/>
      </c>
      <c r="B134" s="15" t="n"/>
      <c r="C134" s="4" t="n"/>
      <c r="D134" s="4" t="n"/>
      <c r="E134" s="4" t="n"/>
      <c r="F134" s="16" t="n"/>
      <c r="G134" s="4" t="n"/>
      <c r="H134" s="4" t="n"/>
      <c r="I134" s="4" t="n"/>
      <c r="J134" s="4" t="n"/>
    </row>
    <row r="135">
      <c r="A135" s="14">
        <f>IF(F135&lt;&gt;"",ROW()-4,"")</f>
        <v/>
      </c>
      <c r="B135" s="15" t="n"/>
      <c r="C135" s="4" t="n"/>
      <c r="D135" s="4" t="n"/>
      <c r="E135" s="4" t="n"/>
      <c r="F135" s="16" t="n"/>
      <c r="G135" s="4" t="n"/>
      <c r="H135" s="4" t="n"/>
      <c r="I135" s="4" t="n"/>
      <c r="J135" s="4" t="n"/>
    </row>
    <row r="136">
      <c r="A136" s="18">
        <f>IF(F136&lt;&gt;"",ROW()-4,"")</f>
        <v/>
      </c>
      <c r="B136" s="15" t="n"/>
      <c r="C136" s="4" t="n"/>
      <c r="D136" s="4" t="n"/>
      <c r="E136" s="4" t="n"/>
      <c r="F136" s="16" t="n"/>
      <c r="G136" s="4" t="n"/>
      <c r="H136" s="4" t="n"/>
      <c r="I136" s="4" t="n"/>
      <c r="J136" s="4" t="n"/>
    </row>
    <row r="137">
      <c r="A137" s="14">
        <f>IF(F137&lt;&gt;"",ROW()-4,"")</f>
        <v/>
      </c>
      <c r="B137" s="15" t="n"/>
      <c r="C137" s="4" t="n"/>
      <c r="D137" s="4" t="n"/>
      <c r="E137" s="4" t="n"/>
      <c r="F137" s="16" t="n"/>
      <c r="G137" s="4" t="n"/>
      <c r="H137" s="4" t="n"/>
      <c r="I137" s="4" t="n"/>
      <c r="J137" s="4" t="n"/>
    </row>
    <row r="138">
      <c r="A138" s="18">
        <f>IF(F138&lt;&gt;"",ROW()-4,"")</f>
        <v/>
      </c>
      <c r="B138" s="15" t="n"/>
      <c r="C138" s="4" t="n"/>
      <c r="D138" s="4" t="n"/>
      <c r="E138" s="4" t="n"/>
      <c r="F138" s="16" t="n"/>
      <c r="G138" s="4" t="n"/>
      <c r="H138" s="4" t="n"/>
      <c r="I138" s="4" t="n"/>
      <c r="J138" s="4" t="n"/>
    </row>
    <row r="139">
      <c r="A139" s="14">
        <f>IF(F139&lt;&gt;"",ROW()-4,"")</f>
        <v/>
      </c>
      <c r="B139" s="15" t="n"/>
      <c r="C139" s="4" t="n"/>
      <c r="D139" s="4" t="n"/>
      <c r="E139" s="4" t="n"/>
      <c r="F139" s="16" t="n"/>
      <c r="G139" s="4" t="n"/>
      <c r="H139" s="4" t="n"/>
      <c r="I139" s="4" t="n"/>
      <c r="J139" s="4" t="n"/>
    </row>
    <row r="140">
      <c r="A140" s="18">
        <f>IF(F140&lt;&gt;"",ROW()-4,"")</f>
        <v/>
      </c>
      <c r="B140" s="15" t="n"/>
      <c r="C140" s="4" t="n"/>
      <c r="D140" s="4" t="n"/>
      <c r="E140" s="4" t="n"/>
      <c r="F140" s="16" t="n"/>
      <c r="G140" s="4" t="n"/>
      <c r="H140" s="4" t="n"/>
      <c r="I140" s="4" t="n"/>
      <c r="J140" s="4" t="n"/>
    </row>
    <row r="141">
      <c r="A141" s="14">
        <f>IF(F141&lt;&gt;"",ROW()-4,"")</f>
        <v/>
      </c>
      <c r="B141" s="15" t="n"/>
      <c r="C141" s="4" t="n"/>
      <c r="D141" s="4" t="n"/>
      <c r="E141" s="4" t="n"/>
      <c r="F141" s="16" t="n"/>
      <c r="G141" s="4" t="n"/>
      <c r="H141" s="4" t="n"/>
      <c r="I141" s="4" t="n"/>
      <c r="J141" s="4" t="n"/>
    </row>
    <row r="142">
      <c r="A142" s="18">
        <f>IF(F142&lt;&gt;"",ROW()-4,"")</f>
        <v/>
      </c>
      <c r="B142" s="15" t="n"/>
      <c r="C142" s="4" t="n"/>
      <c r="D142" s="4" t="n"/>
      <c r="E142" s="4" t="n"/>
      <c r="F142" s="16" t="n"/>
      <c r="G142" s="4" t="n"/>
      <c r="H142" s="4" t="n"/>
      <c r="I142" s="4" t="n"/>
      <c r="J142" s="4" t="n"/>
    </row>
    <row r="143">
      <c r="A143" s="14">
        <f>IF(F143&lt;&gt;"",ROW()-4,"")</f>
        <v/>
      </c>
      <c r="B143" s="15" t="n"/>
      <c r="C143" s="4" t="n"/>
      <c r="D143" s="4" t="n"/>
      <c r="E143" s="4" t="n"/>
      <c r="F143" s="16" t="n"/>
      <c r="G143" s="4" t="n"/>
      <c r="H143" s="4" t="n"/>
      <c r="I143" s="4" t="n"/>
      <c r="J143" s="4" t="n"/>
    </row>
    <row r="144">
      <c r="A144" s="18">
        <f>IF(F144&lt;&gt;"",ROW()-4,"")</f>
        <v/>
      </c>
      <c r="B144" s="15" t="n"/>
      <c r="C144" s="4" t="n"/>
      <c r="D144" s="4" t="n"/>
      <c r="E144" s="4" t="n"/>
      <c r="F144" s="16" t="n"/>
      <c r="G144" s="4" t="n"/>
      <c r="H144" s="4" t="n"/>
      <c r="I144" s="4" t="n"/>
      <c r="J144" s="4" t="n"/>
    </row>
    <row r="145">
      <c r="A145" s="14">
        <f>IF(F145&lt;&gt;"",ROW()-4,"")</f>
        <v/>
      </c>
      <c r="B145" s="15" t="n"/>
      <c r="C145" s="4" t="n"/>
      <c r="D145" s="4" t="n"/>
      <c r="E145" s="4" t="n"/>
      <c r="F145" s="16" t="n"/>
      <c r="G145" s="4" t="n"/>
      <c r="H145" s="4" t="n"/>
      <c r="I145" s="4" t="n"/>
      <c r="J145" s="4" t="n"/>
    </row>
    <row r="146">
      <c r="A146" s="18">
        <f>IF(F146&lt;&gt;"",ROW()-4,"")</f>
        <v/>
      </c>
      <c r="B146" s="15" t="n"/>
      <c r="C146" s="4" t="n"/>
      <c r="D146" s="4" t="n"/>
      <c r="E146" s="4" t="n"/>
      <c r="F146" s="16" t="n"/>
      <c r="G146" s="4" t="n"/>
      <c r="H146" s="4" t="n"/>
      <c r="I146" s="4" t="n"/>
      <c r="J146" s="4" t="n"/>
    </row>
    <row r="147">
      <c r="A147" s="14">
        <f>IF(F147&lt;&gt;"",ROW()-4,"")</f>
        <v/>
      </c>
      <c r="B147" s="15" t="n"/>
      <c r="C147" s="4" t="n"/>
      <c r="D147" s="4" t="n"/>
      <c r="E147" s="4" t="n"/>
      <c r="F147" s="16" t="n"/>
      <c r="G147" s="4" t="n"/>
      <c r="H147" s="4" t="n"/>
      <c r="I147" s="4" t="n"/>
      <c r="J147" s="4" t="n"/>
    </row>
    <row r="148">
      <c r="A148" s="18">
        <f>IF(F148&lt;&gt;"",ROW()-4,"")</f>
        <v/>
      </c>
      <c r="B148" s="15" t="n"/>
      <c r="C148" s="4" t="n"/>
      <c r="D148" s="4" t="n"/>
      <c r="E148" s="4" t="n"/>
      <c r="F148" s="16" t="n"/>
      <c r="G148" s="4" t="n"/>
      <c r="H148" s="4" t="n"/>
      <c r="I148" s="4" t="n"/>
      <c r="J148" s="4" t="n"/>
    </row>
    <row r="149">
      <c r="A149" s="14">
        <f>IF(F149&lt;&gt;"",ROW()-4,"")</f>
        <v/>
      </c>
      <c r="B149" s="15" t="n"/>
      <c r="C149" s="4" t="n"/>
      <c r="D149" s="4" t="n"/>
      <c r="E149" s="4" t="n"/>
      <c r="F149" s="16" t="n"/>
      <c r="G149" s="4" t="n"/>
      <c r="H149" s="4" t="n"/>
      <c r="I149" s="4" t="n"/>
      <c r="J149" s="4" t="n"/>
    </row>
    <row r="150">
      <c r="A150" s="18">
        <f>IF(F150&lt;&gt;"",ROW()-4,"")</f>
        <v/>
      </c>
      <c r="B150" s="15" t="n"/>
      <c r="C150" s="4" t="n"/>
      <c r="D150" s="4" t="n"/>
      <c r="E150" s="4" t="n"/>
      <c r="F150" s="16" t="n"/>
      <c r="G150" s="4" t="n"/>
      <c r="H150" s="4" t="n"/>
      <c r="I150" s="4" t="n"/>
      <c r="J150" s="4" t="n"/>
    </row>
    <row r="151">
      <c r="A151" s="14">
        <f>IF(F151&lt;&gt;"",ROW()-4,"")</f>
        <v/>
      </c>
      <c r="B151" s="15" t="n"/>
      <c r="C151" s="4" t="n"/>
      <c r="D151" s="4" t="n"/>
      <c r="E151" s="4" t="n"/>
      <c r="F151" s="16" t="n"/>
      <c r="G151" s="4" t="n"/>
      <c r="H151" s="4" t="n"/>
      <c r="I151" s="4" t="n"/>
      <c r="J151" s="4" t="n"/>
    </row>
    <row r="152">
      <c r="A152" s="18">
        <f>IF(F152&lt;&gt;"",ROW()-4,"")</f>
        <v/>
      </c>
      <c r="B152" s="15" t="n"/>
      <c r="C152" s="4" t="n"/>
      <c r="D152" s="4" t="n"/>
      <c r="E152" s="4" t="n"/>
      <c r="F152" s="16" t="n"/>
      <c r="G152" s="4" t="n"/>
      <c r="H152" s="4" t="n"/>
      <c r="I152" s="4" t="n"/>
      <c r="J152" s="4" t="n"/>
    </row>
    <row r="153">
      <c r="A153" s="14">
        <f>IF(F153&lt;&gt;"",ROW()-4,"")</f>
        <v/>
      </c>
      <c r="B153" s="15" t="n"/>
      <c r="C153" s="4" t="n"/>
      <c r="D153" s="4" t="n"/>
      <c r="E153" s="4" t="n"/>
      <c r="F153" s="16" t="n"/>
      <c r="G153" s="4" t="n"/>
      <c r="H153" s="4" t="n"/>
      <c r="I153" s="4" t="n"/>
      <c r="J153" s="4" t="n"/>
    </row>
    <row r="154">
      <c r="A154" s="18">
        <f>IF(F154&lt;&gt;"",ROW()-4,"")</f>
        <v/>
      </c>
      <c r="B154" s="15" t="n"/>
      <c r="C154" s="4" t="n"/>
      <c r="D154" s="4" t="n"/>
      <c r="E154" s="4" t="n"/>
      <c r="F154" s="16" t="n"/>
      <c r="G154" s="4" t="n"/>
      <c r="H154" s="4" t="n"/>
      <c r="I154" s="4" t="n"/>
      <c r="J154" s="4" t="n"/>
    </row>
    <row r="155">
      <c r="A155" s="14">
        <f>IF(F155&lt;&gt;"",ROW()-4,"")</f>
        <v/>
      </c>
      <c r="B155" s="15" t="n"/>
      <c r="C155" s="4" t="n"/>
      <c r="D155" s="4" t="n"/>
      <c r="E155" s="4" t="n"/>
      <c r="F155" s="16" t="n"/>
      <c r="G155" s="4" t="n"/>
      <c r="H155" s="4" t="n"/>
      <c r="I155" s="4" t="n"/>
      <c r="J155" s="4" t="n"/>
    </row>
    <row r="156">
      <c r="A156" s="18">
        <f>IF(F156&lt;&gt;"",ROW()-4,"")</f>
        <v/>
      </c>
      <c r="B156" s="15" t="n"/>
      <c r="C156" s="4" t="n"/>
      <c r="D156" s="4" t="n"/>
      <c r="E156" s="4" t="n"/>
      <c r="F156" s="16" t="n"/>
      <c r="G156" s="4" t="n"/>
      <c r="H156" s="4" t="n"/>
      <c r="I156" s="4" t="n"/>
      <c r="J156" s="4" t="n"/>
    </row>
    <row r="157">
      <c r="A157" s="14">
        <f>IF(F157&lt;&gt;"",ROW()-4,"")</f>
        <v/>
      </c>
      <c r="B157" s="15" t="n"/>
      <c r="C157" s="4" t="n"/>
      <c r="D157" s="4" t="n"/>
      <c r="E157" s="4" t="n"/>
      <c r="F157" s="16" t="n"/>
      <c r="G157" s="4" t="n"/>
      <c r="H157" s="4" t="n"/>
      <c r="I157" s="4" t="n"/>
      <c r="J157" s="4" t="n"/>
    </row>
    <row r="158">
      <c r="A158" s="18">
        <f>IF(F158&lt;&gt;"",ROW()-4,"")</f>
        <v/>
      </c>
      <c r="B158" s="15" t="n"/>
      <c r="C158" s="4" t="n"/>
      <c r="D158" s="4" t="n"/>
      <c r="E158" s="4" t="n"/>
      <c r="F158" s="16" t="n"/>
      <c r="G158" s="4" t="n"/>
      <c r="H158" s="4" t="n"/>
      <c r="I158" s="4" t="n"/>
      <c r="J158" s="4" t="n"/>
    </row>
    <row r="159">
      <c r="A159" s="14">
        <f>IF(F159&lt;&gt;"",ROW()-4,"")</f>
        <v/>
      </c>
      <c r="B159" s="15" t="n"/>
      <c r="C159" s="4" t="n"/>
      <c r="D159" s="4" t="n"/>
      <c r="E159" s="4" t="n"/>
      <c r="F159" s="16" t="n"/>
      <c r="G159" s="4" t="n"/>
      <c r="H159" s="4" t="n"/>
      <c r="I159" s="4" t="n"/>
      <c r="J159" s="4" t="n"/>
    </row>
    <row r="160">
      <c r="A160" s="18">
        <f>IF(F160&lt;&gt;"",ROW()-4,"")</f>
        <v/>
      </c>
      <c r="B160" s="15" t="n"/>
      <c r="C160" s="4" t="n"/>
      <c r="D160" s="4" t="n"/>
      <c r="E160" s="4" t="n"/>
      <c r="F160" s="16" t="n"/>
      <c r="G160" s="4" t="n"/>
      <c r="H160" s="4" t="n"/>
      <c r="I160" s="4" t="n"/>
      <c r="J160" s="4" t="n"/>
    </row>
    <row r="161">
      <c r="A161" s="14">
        <f>IF(F161&lt;&gt;"",ROW()-4,"")</f>
        <v/>
      </c>
      <c r="B161" s="15" t="n"/>
      <c r="C161" s="4" t="n"/>
      <c r="D161" s="4" t="n"/>
      <c r="E161" s="4" t="n"/>
      <c r="F161" s="16" t="n"/>
      <c r="G161" s="4" t="n"/>
      <c r="H161" s="4" t="n"/>
      <c r="I161" s="4" t="n"/>
      <c r="J161" s="4" t="n"/>
    </row>
    <row r="162">
      <c r="A162" s="18">
        <f>IF(F162&lt;&gt;"",ROW()-4,"")</f>
        <v/>
      </c>
      <c r="B162" s="15" t="n"/>
      <c r="C162" s="4" t="n"/>
      <c r="D162" s="4" t="n"/>
      <c r="E162" s="4" t="n"/>
      <c r="F162" s="16" t="n"/>
      <c r="G162" s="4" t="n"/>
      <c r="H162" s="4" t="n"/>
      <c r="I162" s="4" t="n"/>
      <c r="J162" s="4" t="n"/>
    </row>
    <row r="163">
      <c r="A163" s="14">
        <f>IF(F163&lt;&gt;"",ROW()-4,"")</f>
        <v/>
      </c>
      <c r="B163" s="15" t="n"/>
      <c r="C163" s="4" t="n"/>
      <c r="D163" s="4" t="n"/>
      <c r="E163" s="4" t="n"/>
      <c r="F163" s="16" t="n"/>
      <c r="G163" s="4" t="n"/>
      <c r="H163" s="4" t="n"/>
      <c r="I163" s="4" t="n"/>
      <c r="J163" s="4" t="n"/>
    </row>
    <row r="164">
      <c r="A164" s="18">
        <f>IF(F164&lt;&gt;"",ROW()-4,"")</f>
        <v/>
      </c>
      <c r="B164" s="15" t="n"/>
      <c r="C164" s="4" t="n"/>
      <c r="D164" s="4" t="n"/>
      <c r="E164" s="4" t="n"/>
      <c r="F164" s="16" t="n"/>
      <c r="G164" s="4" t="n"/>
      <c r="H164" s="4" t="n"/>
      <c r="I164" s="4" t="n"/>
      <c r="J164" s="4" t="n"/>
    </row>
    <row r="165">
      <c r="A165" s="14">
        <f>IF(F165&lt;&gt;"",ROW()-4,"")</f>
        <v/>
      </c>
      <c r="B165" s="15" t="n"/>
      <c r="C165" s="4" t="n"/>
      <c r="D165" s="4" t="n"/>
      <c r="E165" s="4" t="n"/>
      <c r="F165" s="16" t="n"/>
      <c r="G165" s="4" t="n"/>
      <c r="H165" s="4" t="n"/>
      <c r="I165" s="4" t="n"/>
      <c r="J165" s="4" t="n"/>
    </row>
    <row r="166">
      <c r="A166" s="18">
        <f>IF(F166&lt;&gt;"",ROW()-4,"")</f>
        <v/>
      </c>
      <c r="B166" s="15" t="n"/>
      <c r="C166" s="4" t="n"/>
      <c r="D166" s="4" t="n"/>
      <c r="E166" s="4" t="n"/>
      <c r="F166" s="16" t="n"/>
      <c r="G166" s="4" t="n"/>
      <c r="H166" s="4" t="n"/>
      <c r="I166" s="4" t="n"/>
      <c r="J166" s="4" t="n"/>
    </row>
    <row r="167">
      <c r="A167" s="14">
        <f>IF(F167&lt;&gt;"",ROW()-4,"")</f>
        <v/>
      </c>
      <c r="B167" s="15" t="n"/>
      <c r="C167" s="4" t="n"/>
      <c r="D167" s="4" t="n"/>
      <c r="E167" s="4" t="n"/>
      <c r="F167" s="16" t="n"/>
      <c r="G167" s="4" t="n"/>
      <c r="H167" s="4" t="n"/>
      <c r="I167" s="4" t="n"/>
      <c r="J167" s="4" t="n"/>
    </row>
    <row r="168">
      <c r="A168" s="18">
        <f>IF(F168&lt;&gt;"",ROW()-4,"")</f>
        <v/>
      </c>
      <c r="B168" s="15" t="n"/>
      <c r="C168" s="4" t="n"/>
      <c r="D168" s="4" t="n"/>
      <c r="E168" s="4" t="n"/>
      <c r="F168" s="16" t="n"/>
      <c r="G168" s="4" t="n"/>
      <c r="H168" s="4" t="n"/>
      <c r="I168" s="4" t="n"/>
      <c r="J168" s="4" t="n"/>
    </row>
    <row r="169">
      <c r="A169" s="14">
        <f>IF(F169&lt;&gt;"",ROW()-4,"")</f>
        <v/>
      </c>
      <c r="B169" s="15" t="n"/>
      <c r="C169" s="4" t="n"/>
      <c r="D169" s="4" t="n"/>
      <c r="E169" s="4" t="n"/>
      <c r="F169" s="16" t="n"/>
      <c r="G169" s="4" t="n"/>
      <c r="H169" s="4" t="n"/>
      <c r="I169" s="4" t="n"/>
      <c r="J169" s="4" t="n"/>
    </row>
    <row r="170">
      <c r="A170" s="18">
        <f>IF(F170&lt;&gt;"",ROW()-4,"")</f>
        <v/>
      </c>
      <c r="B170" s="15" t="n"/>
      <c r="C170" s="4" t="n"/>
      <c r="D170" s="4" t="n"/>
      <c r="E170" s="4" t="n"/>
      <c r="F170" s="16" t="n"/>
      <c r="G170" s="4" t="n"/>
      <c r="H170" s="4" t="n"/>
      <c r="I170" s="4" t="n"/>
      <c r="J170" s="4" t="n"/>
    </row>
    <row r="171">
      <c r="A171" s="14">
        <f>IF(F171&lt;&gt;"",ROW()-4,"")</f>
        <v/>
      </c>
      <c r="B171" s="15" t="n"/>
      <c r="C171" s="4" t="n"/>
      <c r="D171" s="4" t="n"/>
      <c r="E171" s="4" t="n"/>
      <c r="F171" s="16" t="n"/>
      <c r="G171" s="4" t="n"/>
      <c r="H171" s="4" t="n"/>
      <c r="I171" s="4" t="n"/>
      <c r="J171" s="4" t="n"/>
    </row>
    <row r="172">
      <c r="A172" s="18">
        <f>IF(F172&lt;&gt;"",ROW()-4,"")</f>
        <v/>
      </c>
      <c r="B172" s="15" t="n"/>
      <c r="C172" s="4" t="n"/>
      <c r="D172" s="4" t="n"/>
      <c r="E172" s="4" t="n"/>
      <c r="F172" s="16" t="n"/>
      <c r="G172" s="4" t="n"/>
      <c r="H172" s="4" t="n"/>
      <c r="I172" s="4" t="n"/>
      <c r="J172" s="4" t="n"/>
    </row>
    <row r="173">
      <c r="A173" s="14">
        <f>IF(F173&lt;&gt;"",ROW()-4,"")</f>
        <v/>
      </c>
      <c r="B173" s="15" t="n"/>
      <c r="C173" s="4" t="n"/>
      <c r="D173" s="4" t="n"/>
      <c r="E173" s="4" t="n"/>
      <c r="F173" s="16" t="n"/>
      <c r="G173" s="4" t="n"/>
      <c r="H173" s="4" t="n"/>
      <c r="I173" s="4" t="n"/>
      <c r="J173" s="4" t="n"/>
    </row>
    <row r="174">
      <c r="A174" s="18">
        <f>IF(F174&lt;&gt;"",ROW()-4,"")</f>
        <v/>
      </c>
      <c r="B174" s="15" t="n"/>
      <c r="C174" s="4" t="n"/>
      <c r="D174" s="4" t="n"/>
      <c r="E174" s="4" t="n"/>
      <c r="F174" s="16" t="n"/>
      <c r="G174" s="4" t="n"/>
      <c r="H174" s="4" t="n"/>
      <c r="I174" s="4" t="n"/>
      <c r="J174" s="4" t="n"/>
    </row>
    <row r="175">
      <c r="A175" s="14">
        <f>IF(F175&lt;&gt;"",ROW()-4,"")</f>
        <v/>
      </c>
      <c r="B175" s="15" t="n"/>
      <c r="C175" s="4" t="n"/>
      <c r="D175" s="4" t="n"/>
      <c r="E175" s="4" t="n"/>
      <c r="F175" s="16" t="n"/>
      <c r="G175" s="4" t="n"/>
      <c r="H175" s="4" t="n"/>
      <c r="I175" s="4" t="n"/>
      <c r="J175" s="4" t="n"/>
    </row>
    <row r="176">
      <c r="A176" s="18">
        <f>IF(F176&lt;&gt;"",ROW()-4,"")</f>
        <v/>
      </c>
      <c r="B176" s="15" t="n"/>
      <c r="C176" s="4" t="n"/>
      <c r="D176" s="4" t="n"/>
      <c r="E176" s="4" t="n"/>
      <c r="F176" s="16" t="n"/>
      <c r="G176" s="4" t="n"/>
      <c r="H176" s="4" t="n"/>
      <c r="I176" s="4" t="n"/>
      <c r="J176" s="4" t="n"/>
    </row>
    <row r="177">
      <c r="A177" s="14">
        <f>IF(F177&lt;&gt;"",ROW()-4,"")</f>
        <v/>
      </c>
      <c r="B177" s="15" t="n"/>
      <c r="C177" s="4" t="n"/>
      <c r="D177" s="4" t="n"/>
      <c r="E177" s="4" t="n"/>
      <c r="F177" s="16" t="n"/>
      <c r="G177" s="4" t="n"/>
      <c r="H177" s="4" t="n"/>
      <c r="I177" s="4" t="n"/>
      <c r="J177" s="4" t="n"/>
    </row>
    <row r="178">
      <c r="A178" s="18">
        <f>IF(F178&lt;&gt;"",ROW()-4,"")</f>
        <v/>
      </c>
      <c r="B178" s="15" t="n"/>
      <c r="C178" s="4" t="n"/>
      <c r="D178" s="4" t="n"/>
      <c r="E178" s="4" t="n"/>
      <c r="F178" s="16" t="n"/>
      <c r="G178" s="4" t="n"/>
      <c r="H178" s="4" t="n"/>
      <c r="I178" s="4" t="n"/>
      <c r="J178" s="4" t="n"/>
    </row>
    <row r="179">
      <c r="A179" s="14">
        <f>IF(F179&lt;&gt;"",ROW()-4,"")</f>
        <v/>
      </c>
      <c r="B179" s="15" t="n"/>
      <c r="C179" s="4" t="n"/>
      <c r="D179" s="4" t="n"/>
      <c r="E179" s="4" t="n"/>
      <c r="F179" s="16" t="n"/>
      <c r="G179" s="4" t="n"/>
      <c r="H179" s="4" t="n"/>
      <c r="I179" s="4" t="n"/>
      <c r="J179" s="4" t="n"/>
    </row>
    <row r="180">
      <c r="A180" s="18">
        <f>IF(F180&lt;&gt;"",ROW()-4,"")</f>
        <v/>
      </c>
      <c r="B180" s="15" t="n"/>
      <c r="C180" s="4" t="n"/>
      <c r="D180" s="4" t="n"/>
      <c r="E180" s="4" t="n"/>
      <c r="F180" s="16" t="n"/>
      <c r="G180" s="4" t="n"/>
      <c r="H180" s="4" t="n"/>
      <c r="I180" s="4" t="n"/>
      <c r="J180" s="4" t="n"/>
    </row>
    <row r="181">
      <c r="A181" s="14">
        <f>IF(F181&lt;&gt;"",ROW()-4,"")</f>
        <v/>
      </c>
      <c r="B181" s="15" t="n"/>
      <c r="C181" s="4" t="n"/>
      <c r="D181" s="4" t="n"/>
      <c r="E181" s="4" t="n"/>
      <c r="F181" s="16" t="n"/>
      <c r="G181" s="4" t="n"/>
      <c r="H181" s="4" t="n"/>
      <c r="I181" s="4" t="n"/>
      <c r="J181" s="4" t="n"/>
    </row>
    <row r="182">
      <c r="A182" s="18">
        <f>IF(F182&lt;&gt;"",ROW()-4,"")</f>
        <v/>
      </c>
      <c r="B182" s="15" t="n"/>
      <c r="C182" s="4" t="n"/>
      <c r="D182" s="4" t="n"/>
      <c r="E182" s="4" t="n"/>
      <c r="F182" s="16" t="n"/>
      <c r="G182" s="4" t="n"/>
      <c r="H182" s="4" t="n"/>
      <c r="I182" s="4" t="n"/>
      <c r="J182" s="4" t="n"/>
    </row>
    <row r="183">
      <c r="A183" s="14">
        <f>IF(F183&lt;&gt;"",ROW()-4,"")</f>
        <v/>
      </c>
      <c r="B183" s="15" t="n"/>
      <c r="C183" s="4" t="n"/>
      <c r="D183" s="4" t="n"/>
      <c r="E183" s="4" t="n"/>
      <c r="F183" s="16" t="n"/>
      <c r="G183" s="4" t="n"/>
      <c r="H183" s="4" t="n"/>
      <c r="I183" s="4" t="n"/>
      <c r="J183" s="4" t="n"/>
    </row>
    <row r="184">
      <c r="A184" s="18">
        <f>IF(F184&lt;&gt;"",ROW()-4,"")</f>
        <v/>
      </c>
      <c r="B184" s="15" t="n"/>
      <c r="C184" s="4" t="n"/>
      <c r="D184" s="4" t="n"/>
      <c r="E184" s="4" t="n"/>
      <c r="F184" s="16" t="n"/>
      <c r="G184" s="4" t="n"/>
      <c r="H184" s="4" t="n"/>
      <c r="I184" s="4" t="n"/>
      <c r="J184" s="4" t="n"/>
    </row>
    <row r="185">
      <c r="A185" s="14">
        <f>IF(F185&lt;&gt;"",ROW()-4,"")</f>
        <v/>
      </c>
      <c r="B185" s="15" t="n"/>
      <c r="C185" s="4" t="n"/>
      <c r="D185" s="4" t="n"/>
      <c r="E185" s="4" t="n"/>
      <c r="F185" s="16" t="n"/>
      <c r="G185" s="4" t="n"/>
      <c r="H185" s="4" t="n"/>
      <c r="I185" s="4" t="n"/>
      <c r="J185" s="4" t="n"/>
    </row>
    <row r="186">
      <c r="A186" s="18">
        <f>IF(F186&lt;&gt;"",ROW()-4,"")</f>
        <v/>
      </c>
      <c r="B186" s="15" t="n"/>
      <c r="C186" s="4" t="n"/>
      <c r="D186" s="4" t="n"/>
      <c r="E186" s="4" t="n"/>
      <c r="F186" s="16" t="n"/>
      <c r="G186" s="4" t="n"/>
      <c r="H186" s="4" t="n"/>
      <c r="I186" s="4" t="n"/>
      <c r="J186" s="4" t="n"/>
    </row>
    <row r="187">
      <c r="A187" s="14">
        <f>IF(F187&lt;&gt;"",ROW()-4,"")</f>
        <v/>
      </c>
      <c r="B187" s="15" t="n"/>
      <c r="C187" s="4" t="n"/>
      <c r="D187" s="4" t="n"/>
      <c r="E187" s="4" t="n"/>
      <c r="F187" s="16" t="n"/>
      <c r="G187" s="4" t="n"/>
      <c r="H187" s="4" t="n"/>
      <c r="I187" s="4" t="n"/>
      <c r="J187" s="4" t="n"/>
    </row>
    <row r="188">
      <c r="A188" s="18">
        <f>IF(F188&lt;&gt;"",ROW()-4,"")</f>
        <v/>
      </c>
      <c r="B188" s="15" t="n"/>
      <c r="C188" s="4" t="n"/>
      <c r="D188" s="4" t="n"/>
      <c r="E188" s="4" t="n"/>
      <c r="F188" s="16" t="n"/>
      <c r="G188" s="4" t="n"/>
      <c r="H188" s="4" t="n"/>
      <c r="I188" s="4" t="n"/>
      <c r="J188" s="4" t="n"/>
    </row>
    <row r="189">
      <c r="A189" s="14">
        <f>IF(F189&lt;&gt;"",ROW()-4,"")</f>
        <v/>
      </c>
      <c r="B189" s="15" t="n"/>
      <c r="C189" s="4" t="n"/>
      <c r="D189" s="4" t="n"/>
      <c r="E189" s="4" t="n"/>
      <c r="F189" s="16" t="n"/>
      <c r="G189" s="4" t="n"/>
      <c r="H189" s="4" t="n"/>
      <c r="I189" s="4" t="n"/>
      <c r="J189" s="4" t="n"/>
    </row>
    <row r="190">
      <c r="A190" s="18">
        <f>IF(F190&lt;&gt;"",ROW()-4,"")</f>
        <v/>
      </c>
      <c r="B190" s="15" t="n"/>
      <c r="C190" s="4" t="n"/>
      <c r="D190" s="4" t="n"/>
      <c r="E190" s="4" t="n"/>
      <c r="F190" s="16" t="n"/>
      <c r="G190" s="4" t="n"/>
      <c r="H190" s="4" t="n"/>
      <c r="I190" s="4" t="n"/>
      <c r="J190" s="4" t="n"/>
    </row>
    <row r="191">
      <c r="A191" s="14">
        <f>IF(F191&lt;&gt;"",ROW()-4,"")</f>
        <v/>
      </c>
      <c r="B191" s="15" t="n"/>
      <c r="C191" s="4" t="n"/>
      <c r="D191" s="4" t="n"/>
      <c r="E191" s="4" t="n"/>
      <c r="F191" s="16" t="n"/>
      <c r="G191" s="4" t="n"/>
      <c r="H191" s="4" t="n"/>
      <c r="I191" s="4" t="n"/>
      <c r="J191" s="4" t="n"/>
    </row>
    <row r="192">
      <c r="A192" s="18">
        <f>IF(F192&lt;&gt;"",ROW()-4,"")</f>
        <v/>
      </c>
      <c r="B192" s="15" t="n"/>
      <c r="C192" s="4" t="n"/>
      <c r="D192" s="4" t="n"/>
      <c r="E192" s="4" t="n"/>
      <c r="F192" s="16" t="n"/>
      <c r="G192" s="4" t="n"/>
      <c r="H192" s="4" t="n"/>
      <c r="I192" s="4" t="n"/>
      <c r="J192" s="4" t="n"/>
    </row>
    <row r="193">
      <c r="A193" s="14">
        <f>IF(F193&lt;&gt;"",ROW()-4,"")</f>
        <v/>
      </c>
      <c r="B193" s="15" t="n"/>
      <c r="C193" s="4" t="n"/>
      <c r="D193" s="4" t="n"/>
      <c r="E193" s="4" t="n"/>
      <c r="F193" s="16" t="n"/>
      <c r="G193" s="4" t="n"/>
      <c r="H193" s="4" t="n"/>
      <c r="I193" s="4" t="n"/>
      <c r="J193" s="4" t="n"/>
    </row>
    <row r="194">
      <c r="A194" s="18">
        <f>IF(F194&lt;&gt;"",ROW()-4,"")</f>
        <v/>
      </c>
      <c r="B194" s="15" t="n"/>
      <c r="C194" s="4" t="n"/>
      <c r="D194" s="4" t="n"/>
      <c r="E194" s="4" t="n"/>
      <c r="F194" s="16" t="n"/>
      <c r="G194" s="4" t="n"/>
      <c r="H194" s="4" t="n"/>
      <c r="I194" s="4" t="n"/>
      <c r="J194" s="4" t="n"/>
    </row>
    <row r="195">
      <c r="A195" s="14">
        <f>IF(F195&lt;&gt;"",ROW()-4,"")</f>
        <v/>
      </c>
      <c r="B195" s="15" t="n"/>
      <c r="C195" s="4" t="n"/>
      <c r="D195" s="4" t="n"/>
      <c r="E195" s="4" t="n"/>
      <c r="F195" s="16" t="n"/>
      <c r="G195" s="4" t="n"/>
      <c r="H195" s="4" t="n"/>
      <c r="I195" s="4" t="n"/>
      <c r="J195" s="4" t="n"/>
    </row>
    <row r="196">
      <c r="A196" s="18">
        <f>IF(F196&lt;&gt;"",ROW()-4,"")</f>
        <v/>
      </c>
      <c r="B196" s="15" t="n"/>
      <c r="C196" s="4" t="n"/>
      <c r="D196" s="4" t="n"/>
      <c r="E196" s="4" t="n"/>
      <c r="F196" s="16" t="n"/>
      <c r="G196" s="4" t="n"/>
      <c r="H196" s="4" t="n"/>
      <c r="I196" s="4" t="n"/>
      <c r="J196" s="4" t="n"/>
    </row>
    <row r="197">
      <c r="A197" s="14">
        <f>IF(F197&lt;&gt;"",ROW()-4,"")</f>
        <v/>
      </c>
      <c r="B197" s="15" t="n"/>
      <c r="C197" s="4" t="n"/>
      <c r="D197" s="4" t="n"/>
      <c r="E197" s="4" t="n"/>
      <c r="F197" s="16" t="n"/>
      <c r="G197" s="4" t="n"/>
      <c r="H197" s="4" t="n"/>
      <c r="I197" s="4" t="n"/>
      <c r="J197" s="4" t="n"/>
    </row>
    <row r="198">
      <c r="A198" s="18">
        <f>IF(F198&lt;&gt;"",ROW()-4,"")</f>
        <v/>
      </c>
      <c r="B198" s="15" t="n"/>
      <c r="C198" s="4" t="n"/>
      <c r="D198" s="4" t="n"/>
      <c r="E198" s="4" t="n"/>
      <c r="F198" s="16" t="n"/>
      <c r="G198" s="4" t="n"/>
      <c r="H198" s="4" t="n"/>
      <c r="I198" s="4" t="n"/>
      <c r="J198" s="4" t="n"/>
    </row>
    <row r="199">
      <c r="A199" s="14">
        <f>IF(F199&lt;&gt;"",ROW()-4,"")</f>
        <v/>
      </c>
      <c r="B199" s="15" t="n"/>
      <c r="C199" s="4" t="n"/>
      <c r="D199" s="4" t="n"/>
      <c r="E199" s="4" t="n"/>
      <c r="F199" s="16" t="n"/>
      <c r="G199" s="4" t="n"/>
      <c r="H199" s="4" t="n"/>
      <c r="I199" s="4" t="n"/>
      <c r="J199" s="4" t="n"/>
    </row>
    <row r="200">
      <c r="A200" s="18">
        <f>IF(F200&lt;&gt;"",ROW()-4,"")</f>
        <v/>
      </c>
      <c r="B200" s="15" t="n"/>
      <c r="C200" s="4" t="n"/>
      <c r="D200" s="4" t="n"/>
      <c r="E200" s="4" t="n"/>
      <c r="F200" s="16" t="n"/>
      <c r="G200" s="4" t="n"/>
      <c r="H200" s="4" t="n"/>
      <c r="I200" s="4" t="n"/>
      <c r="J200" s="4" t="n"/>
    </row>
    <row r="201">
      <c r="A201" s="14">
        <f>IF(F201&lt;&gt;"",ROW()-4,"")</f>
        <v/>
      </c>
      <c r="B201" s="15" t="n"/>
      <c r="C201" s="4" t="n"/>
      <c r="D201" s="4" t="n"/>
      <c r="E201" s="4" t="n"/>
      <c r="F201" s="16" t="n"/>
      <c r="G201" s="4" t="n"/>
      <c r="H201" s="4" t="n"/>
      <c r="I201" s="4" t="n"/>
      <c r="J201" s="4" t="n"/>
    </row>
    <row r="202">
      <c r="A202" s="18">
        <f>IF(F202&lt;&gt;"",ROW()-4,"")</f>
        <v/>
      </c>
      <c r="B202" s="15" t="n"/>
      <c r="C202" s="4" t="n"/>
      <c r="D202" s="4" t="n"/>
      <c r="E202" s="4" t="n"/>
      <c r="F202" s="16" t="n"/>
      <c r="G202" s="4" t="n"/>
      <c r="H202" s="4" t="n"/>
      <c r="I202" s="4" t="n"/>
      <c r="J202" s="4" t="n"/>
    </row>
    <row r="203">
      <c r="A203" s="14">
        <f>IF(F203&lt;&gt;"",ROW()-4,"")</f>
        <v/>
      </c>
      <c r="B203" s="15" t="n"/>
      <c r="C203" s="4" t="n"/>
      <c r="D203" s="4" t="n"/>
      <c r="E203" s="4" t="n"/>
      <c r="F203" s="16" t="n"/>
      <c r="G203" s="4" t="n"/>
      <c r="H203" s="4" t="n"/>
      <c r="I203" s="4" t="n"/>
      <c r="J203" s="4" t="n"/>
    </row>
    <row r="204">
      <c r="A204" s="18">
        <f>IF(F204&lt;&gt;"",ROW()-4,"")</f>
        <v/>
      </c>
      <c r="B204" s="15" t="n"/>
      <c r="C204" s="4" t="n"/>
      <c r="D204" s="4" t="n"/>
      <c r="E204" s="4" t="n"/>
      <c r="F204" s="16" t="n"/>
      <c r="G204" s="4" t="n"/>
      <c r="H204" s="4" t="n"/>
      <c r="I204" s="4" t="n"/>
      <c r="J204" s="4" t="n"/>
    </row>
    <row r="205">
      <c r="A205" s="14">
        <f>IF(F205&lt;&gt;"",ROW()-4,"")</f>
        <v/>
      </c>
      <c r="B205" s="15" t="n"/>
      <c r="C205" s="4" t="n"/>
      <c r="D205" s="4" t="n"/>
      <c r="E205" s="4" t="n"/>
      <c r="F205" s="16" t="n"/>
      <c r="G205" s="4" t="n"/>
      <c r="H205" s="4" t="n"/>
      <c r="I205" s="4" t="n"/>
      <c r="J205" s="4" t="n"/>
    </row>
    <row r="206">
      <c r="A206" s="18">
        <f>IF(F206&lt;&gt;"",ROW()-4,"")</f>
        <v/>
      </c>
      <c r="B206" s="15" t="n"/>
      <c r="C206" s="4" t="n"/>
      <c r="D206" s="4" t="n"/>
      <c r="E206" s="4" t="n"/>
      <c r="F206" s="16" t="n"/>
      <c r="G206" s="4" t="n"/>
      <c r="H206" s="4" t="n"/>
      <c r="I206" s="4" t="n"/>
      <c r="J206" s="4" t="n"/>
    </row>
    <row r="207">
      <c r="A207" s="14">
        <f>IF(F207&lt;&gt;"",ROW()-4,"")</f>
        <v/>
      </c>
      <c r="B207" s="15" t="n"/>
      <c r="C207" s="4" t="n"/>
      <c r="D207" s="4" t="n"/>
      <c r="E207" s="4" t="n"/>
      <c r="F207" s="16" t="n"/>
      <c r="G207" s="4" t="n"/>
      <c r="H207" s="4" t="n"/>
      <c r="I207" s="4" t="n"/>
      <c r="J207" s="4" t="n"/>
    </row>
    <row r="208">
      <c r="A208" s="18">
        <f>IF(F208&lt;&gt;"",ROW()-4,"")</f>
        <v/>
      </c>
      <c r="B208" s="15" t="n"/>
      <c r="C208" s="4" t="n"/>
      <c r="D208" s="4" t="n"/>
      <c r="E208" s="4" t="n"/>
      <c r="F208" s="16" t="n"/>
      <c r="G208" s="4" t="n"/>
      <c r="H208" s="4" t="n"/>
      <c r="I208" s="4" t="n"/>
      <c r="J208" s="4" t="n"/>
    </row>
    <row r="209">
      <c r="A209" s="14">
        <f>IF(F209&lt;&gt;"",ROW()-4,"")</f>
        <v/>
      </c>
      <c r="B209" s="15" t="n"/>
      <c r="C209" s="4" t="n"/>
      <c r="D209" s="4" t="n"/>
      <c r="E209" s="4" t="n"/>
      <c r="F209" s="16" t="n"/>
      <c r="G209" s="4" t="n"/>
      <c r="H209" s="4" t="n"/>
      <c r="I209" s="4" t="n"/>
      <c r="J209" s="4" t="n"/>
    </row>
    <row r="210">
      <c r="A210" s="18">
        <f>IF(F210&lt;&gt;"",ROW()-4,"")</f>
        <v/>
      </c>
      <c r="B210" s="15" t="n"/>
      <c r="C210" s="4" t="n"/>
      <c r="D210" s="4" t="n"/>
      <c r="E210" s="4" t="n"/>
      <c r="F210" s="16" t="n"/>
      <c r="G210" s="4" t="n"/>
      <c r="H210" s="4" t="n"/>
      <c r="I210" s="4" t="n"/>
      <c r="J210" s="4" t="n"/>
    </row>
    <row r="211">
      <c r="A211" s="14">
        <f>IF(F211&lt;&gt;"",ROW()-4,"")</f>
        <v/>
      </c>
      <c r="B211" s="15" t="n"/>
      <c r="C211" s="4" t="n"/>
      <c r="D211" s="4" t="n"/>
      <c r="E211" s="4" t="n"/>
      <c r="F211" s="16" t="n"/>
      <c r="G211" s="4" t="n"/>
      <c r="H211" s="4" t="n"/>
      <c r="I211" s="4" t="n"/>
      <c r="J211" s="4" t="n"/>
    </row>
    <row r="212">
      <c r="A212" s="18">
        <f>IF(F212&lt;&gt;"",ROW()-4,"")</f>
        <v/>
      </c>
      <c r="B212" s="15" t="n"/>
      <c r="C212" s="4" t="n"/>
      <c r="D212" s="4" t="n"/>
      <c r="E212" s="4" t="n"/>
      <c r="F212" s="16" t="n"/>
      <c r="G212" s="4" t="n"/>
      <c r="H212" s="4" t="n"/>
      <c r="I212" s="4" t="n"/>
      <c r="J212" s="4" t="n"/>
    </row>
    <row r="213">
      <c r="A213" s="14">
        <f>IF(F213&lt;&gt;"",ROW()-4,"")</f>
        <v/>
      </c>
      <c r="B213" s="15" t="n"/>
      <c r="C213" s="4" t="n"/>
      <c r="D213" s="4" t="n"/>
      <c r="E213" s="4" t="n"/>
      <c r="F213" s="16" t="n"/>
      <c r="G213" s="4" t="n"/>
      <c r="H213" s="4" t="n"/>
      <c r="I213" s="4" t="n"/>
      <c r="J213" s="4" t="n"/>
    </row>
    <row r="214">
      <c r="A214" s="18">
        <f>IF(F214&lt;&gt;"",ROW()-4,"")</f>
        <v/>
      </c>
      <c r="B214" s="15" t="n"/>
      <c r="C214" s="4" t="n"/>
      <c r="D214" s="4" t="n"/>
      <c r="E214" s="4" t="n"/>
      <c r="F214" s="16" t="n"/>
      <c r="G214" s="4" t="n"/>
      <c r="H214" s="4" t="n"/>
      <c r="I214" s="4" t="n"/>
      <c r="J214" s="4" t="n"/>
    </row>
    <row r="215">
      <c r="A215" s="14">
        <f>IF(F215&lt;&gt;"",ROW()-4,"")</f>
        <v/>
      </c>
      <c r="B215" s="15" t="n"/>
      <c r="C215" s="4" t="n"/>
      <c r="D215" s="4" t="n"/>
      <c r="E215" s="4" t="n"/>
      <c r="F215" s="16" t="n"/>
      <c r="G215" s="4" t="n"/>
      <c r="H215" s="4" t="n"/>
      <c r="I215" s="4" t="n"/>
      <c r="J215" s="4" t="n"/>
    </row>
    <row r="216">
      <c r="A216" s="18">
        <f>IF(F216&lt;&gt;"",ROW()-4,"")</f>
        <v/>
      </c>
      <c r="B216" s="15" t="n"/>
      <c r="C216" s="4" t="n"/>
      <c r="D216" s="4" t="n"/>
      <c r="E216" s="4" t="n"/>
      <c r="F216" s="16" t="n"/>
      <c r="G216" s="4" t="n"/>
      <c r="H216" s="4" t="n"/>
      <c r="I216" s="4" t="n"/>
      <c r="J216" s="4" t="n"/>
    </row>
    <row r="217">
      <c r="A217" s="14">
        <f>IF(F217&lt;&gt;"",ROW()-4,"")</f>
        <v/>
      </c>
      <c r="B217" s="15" t="n"/>
      <c r="C217" s="4" t="n"/>
      <c r="D217" s="4" t="n"/>
      <c r="E217" s="4" t="n"/>
      <c r="F217" s="16" t="n"/>
      <c r="G217" s="4" t="n"/>
      <c r="H217" s="4" t="n"/>
      <c r="I217" s="4" t="n"/>
      <c r="J217" s="4" t="n"/>
    </row>
    <row r="218">
      <c r="A218" s="18">
        <f>IF(F218&lt;&gt;"",ROW()-4,"")</f>
        <v/>
      </c>
      <c r="B218" s="15" t="n"/>
      <c r="C218" s="4" t="n"/>
      <c r="D218" s="4" t="n"/>
      <c r="E218" s="4" t="n"/>
      <c r="F218" s="16" t="n"/>
      <c r="G218" s="4" t="n"/>
      <c r="H218" s="4" t="n"/>
      <c r="I218" s="4" t="n"/>
      <c r="J218" s="4" t="n"/>
    </row>
    <row r="219">
      <c r="A219" s="14">
        <f>IF(F219&lt;&gt;"",ROW()-4,"")</f>
        <v/>
      </c>
      <c r="B219" s="15" t="n"/>
      <c r="C219" s="4" t="n"/>
      <c r="D219" s="4" t="n"/>
      <c r="E219" s="4" t="n"/>
      <c r="F219" s="16" t="n"/>
      <c r="G219" s="4" t="n"/>
      <c r="H219" s="4" t="n"/>
      <c r="I219" s="4" t="n"/>
      <c r="J219" s="4" t="n"/>
    </row>
    <row r="220">
      <c r="A220" s="18">
        <f>IF(F220&lt;&gt;"",ROW()-4,"")</f>
        <v/>
      </c>
      <c r="B220" s="15" t="n"/>
      <c r="C220" s="4" t="n"/>
      <c r="D220" s="4" t="n"/>
      <c r="E220" s="4" t="n"/>
      <c r="F220" s="16" t="n"/>
      <c r="G220" s="4" t="n"/>
      <c r="H220" s="4" t="n"/>
      <c r="I220" s="4" t="n"/>
      <c r="J220" s="4" t="n"/>
    </row>
    <row r="221">
      <c r="A221" s="14">
        <f>IF(F221&lt;&gt;"",ROW()-4,"")</f>
        <v/>
      </c>
      <c r="B221" s="15" t="n"/>
      <c r="C221" s="4" t="n"/>
      <c r="D221" s="4" t="n"/>
      <c r="E221" s="4" t="n"/>
      <c r="F221" s="16" t="n"/>
      <c r="G221" s="4" t="n"/>
      <c r="H221" s="4" t="n"/>
      <c r="I221" s="4" t="n"/>
      <c r="J221" s="4" t="n"/>
    </row>
    <row r="222">
      <c r="A222" s="18">
        <f>IF(F222&lt;&gt;"",ROW()-4,"")</f>
        <v/>
      </c>
      <c r="B222" s="15" t="n"/>
      <c r="C222" s="4" t="n"/>
      <c r="D222" s="4" t="n"/>
      <c r="E222" s="4" t="n"/>
      <c r="F222" s="16" t="n"/>
      <c r="G222" s="4" t="n"/>
      <c r="H222" s="4" t="n"/>
      <c r="I222" s="4" t="n"/>
      <c r="J222" s="4" t="n"/>
    </row>
    <row r="223">
      <c r="A223" s="14">
        <f>IF(F223&lt;&gt;"",ROW()-4,"")</f>
        <v/>
      </c>
      <c r="B223" s="15" t="n"/>
      <c r="C223" s="4" t="n"/>
      <c r="D223" s="4" t="n"/>
      <c r="E223" s="4" t="n"/>
      <c r="F223" s="16" t="n"/>
      <c r="G223" s="4" t="n"/>
      <c r="H223" s="4" t="n"/>
      <c r="I223" s="4" t="n"/>
      <c r="J223" s="4" t="n"/>
    </row>
    <row r="224">
      <c r="A224" s="18">
        <f>IF(F224&lt;&gt;"",ROW()-4,"")</f>
        <v/>
      </c>
      <c r="B224" s="15" t="n"/>
      <c r="C224" s="4" t="n"/>
      <c r="D224" s="4" t="n"/>
      <c r="E224" s="4" t="n"/>
      <c r="F224" s="16" t="n"/>
      <c r="G224" s="4" t="n"/>
      <c r="H224" s="4" t="n"/>
      <c r="I224" s="4" t="n"/>
      <c r="J224" s="4" t="n"/>
    </row>
    <row r="225">
      <c r="A225" s="14">
        <f>IF(F225&lt;&gt;"",ROW()-4,"")</f>
        <v/>
      </c>
      <c r="B225" s="15" t="n"/>
      <c r="C225" s="4" t="n"/>
      <c r="D225" s="4" t="n"/>
      <c r="E225" s="4" t="n"/>
      <c r="F225" s="16" t="n"/>
      <c r="G225" s="4" t="n"/>
      <c r="H225" s="4" t="n"/>
      <c r="I225" s="4" t="n"/>
      <c r="J225" s="4" t="n"/>
    </row>
    <row r="226">
      <c r="A226" s="18">
        <f>IF(F226&lt;&gt;"",ROW()-4,"")</f>
        <v/>
      </c>
      <c r="B226" s="15" t="n"/>
      <c r="C226" s="4" t="n"/>
      <c r="D226" s="4" t="n"/>
      <c r="E226" s="4" t="n"/>
      <c r="F226" s="16" t="n"/>
      <c r="G226" s="4" t="n"/>
      <c r="H226" s="4" t="n"/>
      <c r="I226" s="4" t="n"/>
      <c r="J226" s="4" t="n"/>
    </row>
    <row r="227">
      <c r="A227" s="14">
        <f>IF(F227&lt;&gt;"",ROW()-4,"")</f>
        <v/>
      </c>
      <c r="B227" s="15" t="n"/>
      <c r="C227" s="4" t="n"/>
      <c r="D227" s="4" t="n"/>
      <c r="E227" s="4" t="n"/>
      <c r="F227" s="16" t="n"/>
      <c r="G227" s="4" t="n"/>
      <c r="H227" s="4" t="n"/>
      <c r="I227" s="4" t="n"/>
      <c r="J227" s="4" t="n"/>
    </row>
    <row r="228">
      <c r="A228" s="18">
        <f>IF(F228&lt;&gt;"",ROW()-4,"")</f>
        <v/>
      </c>
      <c r="B228" s="15" t="n"/>
      <c r="C228" s="4" t="n"/>
      <c r="D228" s="4" t="n"/>
      <c r="E228" s="4" t="n"/>
      <c r="F228" s="16" t="n"/>
      <c r="G228" s="4" t="n"/>
      <c r="H228" s="4" t="n"/>
      <c r="I228" s="4" t="n"/>
      <c r="J228" s="4" t="n"/>
    </row>
    <row r="229">
      <c r="A229" s="14">
        <f>IF(F229&lt;&gt;"",ROW()-4,"")</f>
        <v/>
      </c>
      <c r="B229" s="15" t="n"/>
      <c r="C229" s="4" t="n"/>
      <c r="D229" s="4" t="n"/>
      <c r="E229" s="4" t="n"/>
      <c r="F229" s="16" t="n"/>
      <c r="G229" s="4" t="n"/>
      <c r="H229" s="4" t="n"/>
      <c r="I229" s="4" t="n"/>
      <c r="J229" s="4" t="n"/>
    </row>
    <row r="230">
      <c r="A230" s="18">
        <f>IF(F230&lt;&gt;"",ROW()-4,"")</f>
        <v/>
      </c>
      <c r="B230" s="15" t="n"/>
      <c r="C230" s="4" t="n"/>
      <c r="D230" s="4" t="n"/>
      <c r="E230" s="4" t="n"/>
      <c r="F230" s="16" t="n"/>
      <c r="G230" s="4" t="n"/>
      <c r="H230" s="4" t="n"/>
      <c r="I230" s="4" t="n"/>
      <c r="J230" s="4" t="n"/>
    </row>
    <row r="231">
      <c r="A231" s="14">
        <f>IF(F231&lt;&gt;"",ROW()-4,"")</f>
        <v/>
      </c>
      <c r="B231" s="15" t="n"/>
      <c r="C231" s="4" t="n"/>
      <c r="D231" s="4" t="n"/>
      <c r="E231" s="4" t="n"/>
      <c r="F231" s="16" t="n"/>
      <c r="G231" s="4" t="n"/>
      <c r="H231" s="4" t="n"/>
      <c r="I231" s="4" t="n"/>
      <c r="J231" s="4" t="n"/>
    </row>
    <row r="232">
      <c r="A232" s="18">
        <f>IF(F232&lt;&gt;"",ROW()-4,"")</f>
        <v/>
      </c>
      <c r="B232" s="15" t="n"/>
      <c r="C232" s="4" t="n"/>
      <c r="D232" s="4" t="n"/>
      <c r="E232" s="4" t="n"/>
      <c r="F232" s="16" t="n"/>
      <c r="G232" s="4" t="n"/>
      <c r="H232" s="4" t="n"/>
      <c r="I232" s="4" t="n"/>
      <c r="J232" s="4" t="n"/>
    </row>
    <row r="233">
      <c r="A233" s="14">
        <f>IF(F233&lt;&gt;"",ROW()-4,"")</f>
        <v/>
      </c>
      <c r="B233" s="15" t="n"/>
      <c r="C233" s="4" t="n"/>
      <c r="D233" s="4" t="n"/>
      <c r="E233" s="4" t="n"/>
      <c r="F233" s="16" t="n"/>
      <c r="G233" s="4" t="n"/>
      <c r="H233" s="4" t="n"/>
      <c r="I233" s="4" t="n"/>
      <c r="J233" s="4" t="n"/>
    </row>
    <row r="234">
      <c r="A234" s="18">
        <f>IF(F234&lt;&gt;"",ROW()-4,"")</f>
        <v/>
      </c>
      <c r="B234" s="15" t="n"/>
      <c r="C234" s="4" t="n"/>
      <c r="D234" s="4" t="n"/>
      <c r="E234" s="4" t="n"/>
      <c r="F234" s="16" t="n"/>
      <c r="G234" s="4" t="n"/>
      <c r="H234" s="4" t="n"/>
      <c r="I234" s="4" t="n"/>
      <c r="J234" s="4" t="n"/>
    </row>
    <row r="235">
      <c r="A235" s="14">
        <f>IF(F235&lt;&gt;"",ROW()-4,"")</f>
        <v/>
      </c>
      <c r="B235" s="15" t="n"/>
      <c r="C235" s="4" t="n"/>
      <c r="D235" s="4" t="n"/>
      <c r="E235" s="4" t="n"/>
      <c r="F235" s="16" t="n"/>
      <c r="G235" s="4" t="n"/>
      <c r="H235" s="4" t="n"/>
      <c r="I235" s="4" t="n"/>
      <c r="J235" s="4" t="n"/>
    </row>
    <row r="236">
      <c r="A236" s="18">
        <f>IF(F236&lt;&gt;"",ROW()-4,"")</f>
        <v/>
      </c>
      <c r="B236" s="15" t="n"/>
      <c r="C236" s="4" t="n"/>
      <c r="D236" s="4" t="n"/>
      <c r="E236" s="4" t="n"/>
      <c r="F236" s="16" t="n"/>
      <c r="G236" s="4" t="n"/>
      <c r="H236" s="4" t="n"/>
      <c r="I236" s="4" t="n"/>
      <c r="J236" s="4" t="n"/>
    </row>
    <row r="237">
      <c r="A237" s="14">
        <f>IF(F237&lt;&gt;"",ROW()-4,"")</f>
        <v/>
      </c>
      <c r="B237" s="15" t="n"/>
      <c r="C237" s="4" t="n"/>
      <c r="D237" s="4" t="n"/>
      <c r="E237" s="4" t="n"/>
      <c r="F237" s="16" t="n"/>
      <c r="G237" s="4" t="n"/>
      <c r="H237" s="4" t="n"/>
      <c r="I237" s="4" t="n"/>
      <c r="J237" s="4" t="n"/>
    </row>
    <row r="238">
      <c r="A238" s="18">
        <f>IF(F238&lt;&gt;"",ROW()-4,"")</f>
        <v/>
      </c>
      <c r="B238" s="15" t="n"/>
      <c r="C238" s="4" t="n"/>
      <c r="D238" s="4" t="n"/>
      <c r="E238" s="4" t="n"/>
      <c r="F238" s="16" t="n"/>
      <c r="G238" s="4" t="n"/>
      <c r="H238" s="4" t="n"/>
      <c r="I238" s="4" t="n"/>
      <c r="J238" s="4" t="n"/>
    </row>
    <row r="239">
      <c r="A239" s="14">
        <f>IF(F239&lt;&gt;"",ROW()-4,"")</f>
        <v/>
      </c>
      <c r="B239" s="15" t="n"/>
      <c r="C239" s="4" t="n"/>
      <c r="D239" s="4" t="n"/>
      <c r="E239" s="4" t="n"/>
      <c r="F239" s="16" t="n"/>
      <c r="G239" s="4" t="n"/>
      <c r="H239" s="4" t="n"/>
      <c r="I239" s="4" t="n"/>
      <c r="J239" s="4" t="n"/>
    </row>
    <row r="240">
      <c r="A240" s="18">
        <f>IF(F240&lt;&gt;"",ROW()-4,"")</f>
        <v/>
      </c>
      <c r="B240" s="15" t="n"/>
      <c r="C240" s="4" t="n"/>
      <c r="D240" s="4" t="n"/>
      <c r="E240" s="4" t="n"/>
      <c r="F240" s="16" t="n"/>
      <c r="G240" s="4" t="n"/>
      <c r="H240" s="4" t="n"/>
      <c r="I240" s="4" t="n"/>
      <c r="J240" s="4" t="n"/>
    </row>
    <row r="241">
      <c r="A241" s="14">
        <f>IF(F241&lt;&gt;"",ROW()-4,"")</f>
        <v/>
      </c>
      <c r="B241" s="15" t="n"/>
      <c r="C241" s="4" t="n"/>
      <c r="D241" s="4" t="n"/>
      <c r="E241" s="4" t="n"/>
      <c r="F241" s="16" t="n"/>
      <c r="G241" s="4" t="n"/>
      <c r="H241" s="4" t="n"/>
      <c r="I241" s="4" t="n"/>
      <c r="J241" s="4" t="n"/>
    </row>
    <row r="242">
      <c r="A242" s="18">
        <f>IF(F242&lt;&gt;"",ROW()-4,"")</f>
        <v/>
      </c>
      <c r="B242" s="15" t="n"/>
      <c r="C242" s="4" t="n"/>
      <c r="D242" s="4" t="n"/>
      <c r="E242" s="4" t="n"/>
      <c r="F242" s="16" t="n"/>
      <c r="G242" s="4" t="n"/>
      <c r="H242" s="4" t="n"/>
      <c r="I242" s="4" t="n"/>
      <c r="J242" s="4" t="n"/>
    </row>
    <row r="243">
      <c r="A243" s="14">
        <f>IF(F243&lt;&gt;"",ROW()-4,"")</f>
        <v/>
      </c>
      <c r="B243" s="15" t="n"/>
      <c r="C243" s="4" t="n"/>
      <c r="D243" s="4" t="n"/>
      <c r="E243" s="4" t="n"/>
      <c r="F243" s="16" t="n"/>
      <c r="G243" s="4" t="n"/>
      <c r="H243" s="4" t="n"/>
      <c r="I243" s="4" t="n"/>
      <c r="J243" s="4" t="n"/>
    </row>
    <row r="244">
      <c r="A244" s="18">
        <f>IF(F244&lt;&gt;"",ROW()-4,"")</f>
        <v/>
      </c>
      <c r="B244" s="15" t="n"/>
      <c r="C244" s="4" t="n"/>
      <c r="D244" s="4" t="n"/>
      <c r="E244" s="4" t="n"/>
      <c r="F244" s="16" t="n"/>
      <c r="G244" s="4" t="n"/>
      <c r="H244" s="4" t="n"/>
      <c r="I244" s="4" t="n"/>
      <c r="J244" s="4" t="n"/>
    </row>
    <row r="245">
      <c r="A245" s="14">
        <f>IF(F245&lt;&gt;"",ROW()-4,"")</f>
        <v/>
      </c>
      <c r="B245" s="15" t="n"/>
      <c r="C245" s="4" t="n"/>
      <c r="D245" s="4" t="n"/>
      <c r="E245" s="4" t="n"/>
      <c r="F245" s="16" t="n"/>
      <c r="G245" s="4" t="n"/>
      <c r="H245" s="4" t="n"/>
      <c r="I245" s="4" t="n"/>
      <c r="J245" s="4" t="n"/>
    </row>
    <row r="246">
      <c r="A246" s="18">
        <f>IF(F246&lt;&gt;"",ROW()-4,"")</f>
        <v/>
      </c>
      <c r="B246" s="15" t="n"/>
      <c r="C246" s="4" t="n"/>
      <c r="D246" s="4" t="n"/>
      <c r="E246" s="4" t="n"/>
      <c r="F246" s="16" t="n"/>
      <c r="G246" s="4" t="n"/>
      <c r="H246" s="4" t="n"/>
      <c r="I246" s="4" t="n"/>
      <c r="J246" s="4" t="n"/>
    </row>
    <row r="247">
      <c r="A247" s="14">
        <f>IF(F247&lt;&gt;"",ROW()-4,"")</f>
        <v/>
      </c>
      <c r="B247" s="15" t="n"/>
      <c r="C247" s="4" t="n"/>
      <c r="D247" s="4" t="n"/>
      <c r="E247" s="4" t="n"/>
      <c r="F247" s="16" t="n"/>
      <c r="G247" s="4" t="n"/>
      <c r="H247" s="4" t="n"/>
      <c r="I247" s="4" t="n"/>
      <c r="J247" s="4" t="n"/>
    </row>
    <row r="248">
      <c r="A248" s="18">
        <f>IF(F248&lt;&gt;"",ROW()-4,"")</f>
        <v/>
      </c>
      <c r="B248" s="15" t="n"/>
      <c r="C248" s="4" t="n"/>
      <c r="D248" s="4" t="n"/>
      <c r="E248" s="4" t="n"/>
      <c r="F248" s="16" t="n"/>
      <c r="G248" s="4" t="n"/>
      <c r="H248" s="4" t="n"/>
      <c r="I248" s="4" t="n"/>
      <c r="J248" s="4" t="n"/>
    </row>
    <row r="249">
      <c r="A249" s="14">
        <f>IF(F249&lt;&gt;"",ROW()-4,"")</f>
        <v/>
      </c>
      <c r="B249" s="15" t="n"/>
      <c r="C249" s="4" t="n"/>
      <c r="D249" s="4" t="n"/>
      <c r="E249" s="4" t="n"/>
      <c r="F249" s="16" t="n"/>
      <c r="G249" s="4" t="n"/>
      <c r="H249" s="4" t="n"/>
      <c r="I249" s="4" t="n"/>
      <c r="J249" s="4" t="n"/>
    </row>
    <row r="250">
      <c r="A250" s="18">
        <f>IF(F250&lt;&gt;"",ROW()-4,"")</f>
        <v/>
      </c>
      <c r="B250" s="15" t="n"/>
      <c r="C250" s="4" t="n"/>
      <c r="D250" s="4" t="n"/>
      <c r="E250" s="4" t="n"/>
      <c r="F250" s="16" t="n"/>
      <c r="G250" s="4" t="n"/>
      <c r="H250" s="4" t="n"/>
      <c r="I250" s="4" t="n"/>
      <c r="J250" s="4" t="n"/>
    </row>
    <row r="251">
      <c r="A251" s="14">
        <f>IF(F251&lt;&gt;"",ROW()-4,"")</f>
        <v/>
      </c>
      <c r="B251" s="15" t="n"/>
      <c r="C251" s="4" t="n"/>
      <c r="D251" s="4" t="n"/>
      <c r="E251" s="4" t="n"/>
      <c r="F251" s="16" t="n"/>
      <c r="G251" s="4" t="n"/>
      <c r="H251" s="4" t="n"/>
      <c r="I251" s="4" t="n"/>
      <c r="J251" s="4" t="n"/>
    </row>
    <row r="252">
      <c r="A252" s="18">
        <f>IF(F252&lt;&gt;"",ROW()-4,"")</f>
        <v/>
      </c>
      <c r="B252" s="15" t="n"/>
      <c r="C252" s="4" t="n"/>
      <c r="D252" s="4" t="n"/>
      <c r="E252" s="4" t="n"/>
      <c r="F252" s="16" t="n"/>
      <c r="G252" s="4" t="n"/>
      <c r="H252" s="4" t="n"/>
      <c r="I252" s="4" t="n"/>
      <c r="J252" s="4" t="n"/>
    </row>
    <row r="253">
      <c r="A253" s="14">
        <f>IF(F253&lt;&gt;"",ROW()-4,"")</f>
        <v/>
      </c>
      <c r="B253" s="15" t="n"/>
      <c r="C253" s="4" t="n"/>
      <c r="D253" s="4" t="n"/>
      <c r="E253" s="4" t="n"/>
      <c r="F253" s="16" t="n"/>
      <c r="G253" s="4" t="n"/>
      <c r="H253" s="4" t="n"/>
      <c r="I253" s="4" t="n"/>
      <c r="J253" s="4" t="n"/>
    </row>
    <row r="254">
      <c r="A254" s="18">
        <f>IF(F254&lt;&gt;"",ROW()-4,"")</f>
        <v/>
      </c>
      <c r="B254" s="15" t="n"/>
      <c r="C254" s="4" t="n"/>
      <c r="D254" s="4" t="n"/>
      <c r="E254" s="4" t="n"/>
      <c r="F254" s="16" t="n"/>
      <c r="G254" s="4" t="n"/>
      <c r="H254" s="4" t="n"/>
      <c r="I254" s="4" t="n"/>
      <c r="J254" s="4" t="n"/>
    </row>
    <row r="255">
      <c r="A255" s="14">
        <f>IF(F255&lt;&gt;"",ROW()-4,"")</f>
        <v/>
      </c>
      <c r="B255" s="15" t="n"/>
      <c r="C255" s="4" t="n"/>
      <c r="D255" s="4" t="n"/>
      <c r="E255" s="4" t="n"/>
      <c r="F255" s="16" t="n"/>
      <c r="G255" s="4" t="n"/>
      <c r="H255" s="4" t="n"/>
      <c r="I255" s="4" t="n"/>
      <c r="J255" s="4" t="n"/>
    </row>
    <row r="256" ht="24" customHeight="1">
      <c r="A256" s="19" t="inlineStr">
        <is>
          <t>TOTAL EXPENSES THIS MONTH</t>
        </is>
      </c>
      <c r="F256" s="11">
        <f>SUM(F5:F255)</f>
        <v/>
      </c>
      <c r="G256" s="12" t="n"/>
      <c r="H256" s="12" t="n"/>
      <c r="I256" s="12" t="n"/>
      <c r="J256" s="12" t="n"/>
    </row>
  </sheetData>
  <mergeCells count="3">
    <mergeCell ref="A1:J1"/>
    <mergeCell ref="A2:J2"/>
    <mergeCell ref="A256:E256"/>
  </mergeCells>
  <conditionalFormatting sqref="A5:J255">
    <cfRule type="expression" priority="1" dxfId="0">
      <formula>$D5="Fixed Bills"</formula>
    </cfRule>
    <cfRule type="expression" priority="2" dxfId="1">
      <formula>$D5="Food &amp; Dining"</formula>
    </cfRule>
    <cfRule type="expression" priority="3" dxfId="2">
      <formula>$D5="Transport &amp; Fuel"</formula>
    </cfRule>
    <cfRule type="expression" priority="4" dxfId="3">
      <formula>$D5="Shopping &amp; Clothing"</formula>
    </cfRule>
    <cfRule type="expression" priority="5" dxfId="4">
      <formula>$D5="Entertainment &amp; OTT"</formula>
    </cfRule>
    <cfRule type="expression" priority="6" dxfId="5">
      <formula>$D5="Groceries"</formula>
    </cfRule>
    <cfRule type="expression" priority="7" dxfId="6">
      <formula>$D5="Investment"</formula>
    </cfRule>
    <cfRule type="expression" priority="8" dxfId="7">
      <formula>$D5="Added to Savings"</formula>
    </cfRule>
    <cfRule type="expression" priority="9" dxfId="8">
      <formula>$D5="Credit Card Payment"</formula>
    </cfRule>
    <cfRule type="expression" priority="10" dxfId="9">
      <formula>$D5="Miscellaneous"</formula>
    </cfRule>
  </conditionalFormatting>
  <dataValidations count="5">
    <dataValidation sqref="D5:D255" showErrorMessage="1" showInputMessage="1" allowBlank="1" errorTitle="Invalid Category" error="Pick a category from the list" type="list">
      <formula1>_Lists!$A$1:$A$10</formula1>
    </dataValidation>
    <dataValidation sqref="E5:E255" showErrorMessage="1" showDropDown="0" showInputMessage="1" allowBlank="1" type="list">
      <formula1>_Lists!$O$1:$O$41</formula1>
    </dataValidation>
    <dataValidation sqref="G5:G255" showErrorMessage="1" showInputMessage="1" allowBlank="1" type="list">
      <formula1>_Lists!$Q$1:$Q$8</formula1>
    </dataValidation>
    <dataValidation sqref="H5:H255" showErrorMessage="1" showInputMessage="1" allowBlank="1" type="list">
      <formula1>Setup!$D$5:$D$9</formula1>
    </dataValidation>
    <dataValidation sqref="I5:I255" showErrorMessage="1" showInputMessage="1" allowBlank="1" type="list">
      <formula1>_Lists!$R$1:$R$10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22" customWidth="1" min="4" max="4"/>
    <col width="22" customWidth="1" min="5" max="5"/>
    <col width="14" customWidth="1" min="6" max="6"/>
    <col width="20" customWidth="1" min="7" max="7"/>
    <col width="20" customWidth="1" min="8" max="8"/>
    <col width="22" customWidth="1" min="9" max="9"/>
    <col width="22" customWidth="1" min="10" max="10"/>
    <col width="2" customWidth="1" min="11" max="11"/>
    <col width="26" customWidth="1" min="12" max="12"/>
    <col width="16" customWidth="1" min="13" max="13"/>
  </cols>
  <sheetData>
    <row r="1" ht="36" customHeight="1">
      <c r="A1" s="1" t="inlineStr">
        <is>
          <t>📝  NOVEMBER — EXPENSE LOG</t>
        </is>
      </c>
    </row>
    <row r="2" ht="32" customHeight="1">
      <c r="A2" s="13" t="inlineStr">
        <is>
          <t>ℹ️  Date is DateTime. Category dropdown → Sub-category changes automatically. 'Added to Savings' → pick your saving account in Sub-category. CC spend → pick card in 'CC Name'. CC payment → increases card limit.</t>
        </is>
      </c>
    </row>
    <row r="4" ht="28" customHeight="1">
      <c r="A4" s="3" t="inlineStr">
        <is>
          <t>#</t>
        </is>
      </c>
      <c r="B4" s="3" t="inlineStr">
        <is>
          <t>Date &amp; Time</t>
        </is>
      </c>
      <c r="C4" s="3" t="inlineStr">
        <is>
          <t>Description</t>
        </is>
      </c>
      <c r="D4" s="3" t="inlineStr">
        <is>
          <t>Category</t>
        </is>
      </c>
      <c r="E4" s="3" t="inlineStr">
        <is>
          <t>Sub-category</t>
        </is>
      </c>
      <c r="F4" s="3" t="inlineStr">
        <is>
          <t>Amount (₹)</t>
        </is>
      </c>
      <c r="G4" s="3" t="inlineStr">
        <is>
          <t>Paid From</t>
        </is>
      </c>
      <c r="H4" s="3" t="inlineStr">
        <is>
          <t>CC Name</t>
        </is>
      </c>
      <c r="I4" s="3" t="inlineStr">
        <is>
          <t>Account</t>
        </is>
      </c>
      <c r="J4" s="3" t="inlineStr">
        <is>
          <t>Notes</t>
        </is>
      </c>
      <c r="L4" s="3" t="inlineStr">
        <is>
          <t>📊  November Summary</t>
        </is>
      </c>
      <c r="M4" s="3" t="inlineStr">
        <is>
          <t>Amount (₹)</t>
        </is>
      </c>
    </row>
    <row r="5" ht="22" customHeight="1">
      <c r="A5" s="14">
        <f>IF(F5&lt;&gt;"",ROW()-4,"")</f>
        <v/>
      </c>
      <c r="B5" s="15" t="n"/>
      <c r="C5" s="4" t="n"/>
      <c r="D5" s="4" t="n"/>
      <c r="E5" s="4" t="n"/>
      <c r="F5" s="16" t="n"/>
      <c r="G5" s="4" t="n"/>
      <c r="H5" s="4" t="n"/>
      <c r="I5" s="4" t="n"/>
      <c r="J5" s="4" t="n"/>
      <c r="L5" s="17" t="inlineStr">
        <is>
          <t>Total Expenses</t>
        </is>
      </c>
      <c r="M5" s="9">
        <f>F256</f>
        <v/>
      </c>
    </row>
    <row r="6" ht="22" customHeight="1">
      <c r="A6" s="18">
        <f>IF(F6&lt;&gt;"",ROW()-4,"")</f>
        <v/>
      </c>
      <c r="B6" s="15" t="n"/>
      <c r="C6" s="4" t="n"/>
      <c r="D6" s="4" t="n"/>
      <c r="E6" s="4" t="n"/>
      <c r="F6" s="16" t="n"/>
      <c r="G6" s="4" t="n"/>
      <c r="H6" s="4" t="n"/>
      <c r="I6" s="4" t="n"/>
      <c r="J6" s="4" t="n"/>
      <c r="L6" s="17" t="inlineStr">
        <is>
          <t>Income This Month</t>
        </is>
      </c>
      <c r="M6" s="9">
        <f>Income!E11</f>
        <v/>
      </c>
    </row>
    <row r="7" ht="22" customHeight="1">
      <c r="A7" s="14">
        <f>IF(F7&lt;&gt;"",ROW()-4,"")</f>
        <v/>
      </c>
      <c r="B7" s="15" t="n"/>
      <c r="C7" s="4" t="n"/>
      <c r="D7" s="4" t="n"/>
      <c r="E7" s="4" t="n"/>
      <c r="F7" s="16" t="n"/>
      <c r="G7" s="4" t="n"/>
      <c r="H7" s="4" t="n"/>
      <c r="I7" s="4" t="n"/>
      <c r="J7" s="4" t="n"/>
      <c r="L7" s="17" t="inlineStr">
        <is>
          <t>Net This Month</t>
        </is>
      </c>
      <c r="M7" s="9">
        <f>M6-M5</f>
        <v/>
      </c>
    </row>
    <row r="8" ht="22" customHeight="1">
      <c r="A8" s="18">
        <f>IF(F8&lt;&gt;"",ROW()-4,"")</f>
        <v/>
      </c>
      <c r="B8" s="15" t="n"/>
      <c r="C8" s="4" t="n"/>
      <c r="D8" s="4" t="n"/>
      <c r="E8" s="4" t="n"/>
      <c r="F8" s="16" t="n"/>
      <c r="G8" s="4" t="n"/>
      <c r="H8" s="4" t="n"/>
      <c r="I8" s="4" t="n"/>
      <c r="J8" s="4" t="n"/>
      <c r="L8" s="17" t="inlineStr">
        <is>
          <t>Savings 1 (this month)</t>
        </is>
      </c>
      <c r="M8" s="9">
        <f>IF(Setup!A13&lt;&gt;"",SUMIFS(F5:F255,D5:D255,"Added to Savings",I5:I255,Setup!A13)-SUMIFS(F5:F255,G5:G255,Setup!A13),"")</f>
        <v/>
      </c>
    </row>
    <row r="9" ht="22" customHeight="1">
      <c r="A9" s="14">
        <f>IF(F9&lt;&gt;"",ROW()-4,"")</f>
        <v/>
      </c>
      <c r="B9" s="15" t="n"/>
      <c r="C9" s="4" t="n"/>
      <c r="D9" s="4" t="n"/>
      <c r="E9" s="4" t="n"/>
      <c r="F9" s="16" t="n"/>
      <c r="G9" s="4" t="n"/>
      <c r="H9" s="4" t="n"/>
      <c r="I9" s="4" t="n"/>
      <c r="J9" s="4" t="n"/>
      <c r="L9" s="17" t="inlineStr">
        <is>
          <t>Savings 1 (balance)</t>
        </is>
      </c>
      <c r="M9" s="9">
        <f>IF(Setup!A13&lt;&gt;"",Setup!B13+(SUMIFS('April'!F5:F64,'April'!D5:D64,"Added to Savings",'April'!I5:I64,Setup!A13)+SUMIFS('May'!F5:F64,'May'!D5:D64,"Added to Savings",'May'!I5:I64,Setup!A13)+SUMIFS('June'!F5:F64,'June'!D5:D64,"Added to Savings",'June'!I5:I64,Setup!A13)+SUMIFS('July'!F5:F64,'July'!D5:D64,"Added to Savings",'July'!I5:I64,Setup!A13)+SUMIFS('August'!F5:F64,'August'!D5:D64,"Added to Savings",'August'!I5:I64,Setup!A13)+SUMIFS('September'!F5:F64,'September'!D5:D64,"Added to Savings",'September'!I5:I64,Setup!A13)+SUMIFS('October'!F5:F64,'October'!D5:D64,"Added to Savings",'October'!I5:I64,Setup!A13)+SUMIFS('November'!F5:F64,'November'!D5:D64,"Added to Savings",'November'!I5:I64,Setup!A13))-(SUMIFS('April'!F5:F64,'April'!G5:G64,Setup!A13)+SUMIFS('May'!F5:F64,'May'!G5:G64,Setup!A13)+SUMIFS('June'!F5:F64,'June'!G5:G64,Setup!A13)+SUMIFS('July'!F5:F64,'July'!G5:G64,Setup!A13)+SUMIFS('August'!F5:F64,'August'!G5:G64,Setup!A13)+SUMIFS('September'!F5:F64,'September'!G5:G64,Setup!A13)+SUMIFS('October'!F5:F64,'October'!G5:G64,Setup!A13)+SUMIFS('November'!F5:F64,'November'!G5:G64,Setup!A13)),"")</f>
        <v/>
      </c>
    </row>
    <row r="10" ht="22" customHeight="1">
      <c r="A10" s="18">
        <f>IF(F10&lt;&gt;"",ROW()-4,"")</f>
        <v/>
      </c>
      <c r="B10" s="15" t="n"/>
      <c r="C10" s="4" t="n"/>
      <c r="D10" s="4" t="n"/>
      <c r="E10" s="4" t="n"/>
      <c r="F10" s="16" t="n"/>
      <c r="G10" s="4" t="n"/>
      <c r="H10" s="4" t="n"/>
      <c r="I10" s="4" t="n"/>
      <c r="J10" s="4" t="n"/>
      <c r="L10" s="17" t="inlineStr">
        <is>
          <t>Savings 2 (this month)</t>
        </is>
      </c>
      <c r="M10" s="9">
        <f>IF(Setup!A14&lt;&gt;"",SUMIFS(F5:F255,D5:D255,"Added to Savings",I5:I255,Setup!A14)-SUMIFS(F5:F255,G5:G255,Setup!A14),"")</f>
        <v/>
      </c>
    </row>
    <row r="11" ht="22" customHeight="1">
      <c r="A11" s="14">
        <f>IF(F11&lt;&gt;"",ROW()-4,"")</f>
        <v/>
      </c>
      <c r="B11" s="15" t="n"/>
      <c r="C11" s="4" t="n"/>
      <c r="D11" s="4" t="n"/>
      <c r="E11" s="4" t="n"/>
      <c r="F11" s="16" t="n"/>
      <c r="G11" s="4" t="n"/>
      <c r="H11" s="4" t="n"/>
      <c r="I11" s="4" t="n"/>
      <c r="J11" s="4" t="n"/>
      <c r="L11" s="17" t="inlineStr">
        <is>
          <t>Savings 2 (balance)</t>
        </is>
      </c>
      <c r="M11" s="9">
        <f>IF(Setup!A14&lt;&gt;"",Setup!B14+(SUMIFS('April'!F5:F64,'April'!D5:D64,"Added to Savings",'April'!I5:I64,Setup!A14)+SUMIFS('May'!F5:F64,'May'!D5:D64,"Added to Savings",'May'!I5:I64,Setup!A14)+SUMIFS('June'!F5:F64,'June'!D5:D64,"Added to Savings",'June'!I5:I64,Setup!A14)+SUMIFS('July'!F5:F64,'July'!D5:D64,"Added to Savings",'July'!I5:I64,Setup!A14)+SUMIFS('August'!F5:F64,'August'!D5:D64,"Added to Savings",'August'!I5:I64,Setup!A14)+SUMIFS('September'!F5:F64,'September'!D5:D64,"Added to Savings",'September'!I5:I64,Setup!A14)+SUMIFS('October'!F5:F64,'October'!D5:D64,"Added to Savings",'October'!I5:I64,Setup!A14)+SUMIFS('November'!F5:F64,'November'!D5:D64,"Added to Savings",'November'!I5:I64,Setup!A14))-(SUMIFS('April'!F5:F64,'April'!G5:G64,Setup!A14)+SUMIFS('May'!F5:F64,'May'!G5:G64,Setup!A14)+SUMIFS('June'!F5:F64,'June'!G5:G64,Setup!A14)+SUMIFS('July'!F5:F64,'July'!G5:G64,Setup!A14)+SUMIFS('August'!F5:F64,'August'!G5:G64,Setup!A14)+SUMIFS('September'!F5:F64,'September'!G5:G64,Setup!A14)+SUMIFS('October'!F5:F64,'October'!G5:G64,Setup!A14)+SUMIFS('November'!F5:F64,'November'!G5:G64,Setup!A14)),"")</f>
        <v/>
      </c>
    </row>
    <row r="12" ht="22" customHeight="1">
      <c r="A12" s="18">
        <f>IF(F12&lt;&gt;"",ROW()-4,"")</f>
        <v/>
      </c>
      <c r="B12" s="15" t="n"/>
      <c r="C12" s="4" t="n"/>
      <c r="D12" s="4" t="n"/>
      <c r="E12" s="4" t="n"/>
      <c r="F12" s="16" t="n"/>
      <c r="G12" s="4" t="n"/>
      <c r="H12" s="4" t="n"/>
      <c r="I12" s="4" t="n"/>
      <c r="J12" s="4" t="n"/>
      <c r="L12" s="17" t="inlineStr">
        <is>
          <t>Savings 3 (this month)</t>
        </is>
      </c>
      <c r="M12" s="9">
        <f>IF(Setup!A15&lt;&gt;"",SUMIFS(F5:F255,D5:D255,"Added to Savings",I5:I255,Setup!A15)-SUMIFS(F5:F255,G5:G255,Setup!A15),"")</f>
        <v/>
      </c>
    </row>
    <row r="13" ht="22" customHeight="1">
      <c r="A13" s="14">
        <f>IF(F13&lt;&gt;"",ROW()-4,"")</f>
        <v/>
      </c>
      <c r="B13" s="15" t="n"/>
      <c r="C13" s="4" t="n"/>
      <c r="D13" s="4" t="n"/>
      <c r="E13" s="4" t="n"/>
      <c r="F13" s="16" t="n"/>
      <c r="G13" s="4" t="n"/>
      <c r="H13" s="4" t="n"/>
      <c r="I13" s="4" t="n"/>
      <c r="J13" s="4" t="n"/>
      <c r="L13" s="17" t="inlineStr">
        <is>
          <t>Savings 3 (balance)</t>
        </is>
      </c>
      <c r="M13" s="9">
        <f>IF(Setup!A15&lt;&gt;"",Setup!B15+(SUMIFS('April'!F5:F64,'April'!D5:D64,"Added to Savings",'April'!I5:I64,Setup!A15)+SUMIFS('May'!F5:F64,'May'!D5:D64,"Added to Savings",'May'!I5:I64,Setup!A15)+SUMIFS('June'!F5:F64,'June'!D5:D64,"Added to Savings",'June'!I5:I64,Setup!A15)+SUMIFS('July'!F5:F64,'July'!D5:D64,"Added to Savings",'July'!I5:I64,Setup!A15)+SUMIFS('August'!F5:F64,'August'!D5:D64,"Added to Savings",'August'!I5:I64,Setup!A15)+SUMIFS('September'!F5:F64,'September'!D5:D64,"Added to Savings",'September'!I5:I64,Setup!A15)+SUMIFS('October'!F5:F64,'October'!D5:D64,"Added to Savings",'October'!I5:I64,Setup!A15)+SUMIFS('November'!F5:F64,'November'!D5:D64,"Added to Savings",'November'!I5:I64,Setup!A15))-(SUMIFS('April'!F5:F64,'April'!G5:G64,Setup!A15)+SUMIFS('May'!F5:F64,'May'!G5:G64,Setup!A15)+SUMIFS('June'!F5:F64,'June'!G5:G64,Setup!A15)+SUMIFS('July'!F5:F64,'July'!G5:G64,Setup!A15)+SUMIFS('August'!F5:F64,'August'!G5:G64,Setup!A15)+SUMIFS('September'!F5:F64,'September'!G5:G64,Setup!A15)+SUMIFS('October'!F5:F64,'October'!G5:G64,Setup!A15)+SUMIFS('November'!F5:F64,'November'!G5:G64,Setup!A15)),"")</f>
        <v/>
      </c>
    </row>
    <row r="14" ht="22" customHeight="1">
      <c r="A14" s="18">
        <f>IF(F14&lt;&gt;"",ROW()-4,"")</f>
        <v/>
      </c>
      <c r="B14" s="15" t="n"/>
      <c r="C14" s="4" t="n"/>
      <c r="D14" s="4" t="n"/>
      <c r="E14" s="4" t="n"/>
      <c r="F14" s="16" t="n"/>
      <c r="G14" s="4" t="n"/>
      <c r="H14" s="4" t="n"/>
      <c r="I14" s="4" t="n"/>
      <c r="J14" s="4" t="n"/>
      <c r="L14" s="17" t="inlineStr">
        <is>
          <t>Savings 4 (this month)</t>
        </is>
      </c>
      <c r="M14" s="9">
        <f>IF(Setup!A16&lt;&gt;"",SUMIFS(F5:F255,D5:D255,"Added to Savings",I5:I255,Setup!A16)-SUMIFS(F5:F255,G5:G255,Setup!A16),"")</f>
        <v/>
      </c>
    </row>
    <row r="15" ht="22" customHeight="1">
      <c r="A15" s="14">
        <f>IF(F15&lt;&gt;"",ROW()-4,"")</f>
        <v/>
      </c>
      <c r="B15" s="15" t="n"/>
      <c r="C15" s="4" t="n"/>
      <c r="D15" s="4" t="n"/>
      <c r="E15" s="4" t="n"/>
      <c r="F15" s="16" t="n"/>
      <c r="G15" s="4" t="n"/>
      <c r="H15" s="4" t="n"/>
      <c r="I15" s="4" t="n"/>
      <c r="J15" s="4" t="n"/>
      <c r="L15" s="17" t="inlineStr">
        <is>
          <t>Savings 4 (balance)</t>
        </is>
      </c>
      <c r="M15" s="9">
        <f>IF(Setup!A16&lt;&gt;"",Setup!B16+(SUMIFS('April'!F5:F64,'April'!D5:D64,"Added to Savings",'April'!I5:I64,Setup!A16)+SUMIFS('May'!F5:F64,'May'!D5:D64,"Added to Savings",'May'!I5:I64,Setup!A16)+SUMIFS('June'!F5:F64,'June'!D5:D64,"Added to Savings",'June'!I5:I64,Setup!A16)+SUMIFS('July'!F5:F64,'July'!D5:D64,"Added to Savings",'July'!I5:I64,Setup!A16)+SUMIFS('August'!F5:F64,'August'!D5:D64,"Added to Savings",'August'!I5:I64,Setup!A16)+SUMIFS('September'!F5:F64,'September'!D5:D64,"Added to Savings",'September'!I5:I64,Setup!A16)+SUMIFS('October'!F5:F64,'October'!D5:D64,"Added to Savings",'October'!I5:I64,Setup!A16)+SUMIFS('November'!F5:F64,'November'!D5:D64,"Added to Savings",'November'!I5:I64,Setup!A16))-(SUMIFS('April'!F5:F64,'April'!G5:G64,Setup!A16)+SUMIFS('May'!F5:F64,'May'!G5:G64,Setup!A16)+SUMIFS('June'!F5:F64,'June'!G5:G64,Setup!A16)+SUMIFS('July'!F5:F64,'July'!G5:G64,Setup!A16)+SUMIFS('August'!F5:F64,'August'!G5:G64,Setup!A16)+SUMIFS('September'!F5:F64,'September'!G5:G64,Setup!A16)+SUMIFS('October'!F5:F64,'October'!G5:G64,Setup!A16)+SUMIFS('November'!F5:F64,'November'!G5:G64,Setup!A16)),"")</f>
        <v/>
      </c>
    </row>
    <row r="16" ht="22" customHeight="1">
      <c r="A16" s="18">
        <f>IF(F16&lt;&gt;"",ROW()-4,"")</f>
        <v/>
      </c>
      <c r="B16" s="15" t="n"/>
      <c r="C16" s="4" t="n"/>
      <c r="D16" s="4" t="n"/>
      <c r="E16" s="4" t="n"/>
      <c r="F16" s="16" t="n"/>
      <c r="G16" s="4" t="n"/>
      <c r="H16" s="4" t="n"/>
      <c r="I16" s="4" t="n"/>
      <c r="J16" s="4" t="n"/>
      <c r="L16" s="17" t="inlineStr">
        <is>
          <t>Savings 5 (this month)</t>
        </is>
      </c>
      <c r="M16" s="9">
        <f>IF(Setup!A17&lt;&gt;"",SUMIFS(F5:F255,D5:D255,"Added to Savings",I5:I255,Setup!A17)-SUMIFS(F5:F255,G5:G255,Setup!A17),"")</f>
        <v/>
      </c>
    </row>
    <row r="17" ht="22" customHeight="1">
      <c r="A17" s="14">
        <f>IF(F17&lt;&gt;"",ROW()-4,"")</f>
        <v/>
      </c>
      <c r="B17" s="15" t="n"/>
      <c r="C17" s="4" t="n"/>
      <c r="D17" s="4" t="n"/>
      <c r="E17" s="4" t="n"/>
      <c r="F17" s="16" t="n"/>
      <c r="G17" s="4" t="n"/>
      <c r="H17" s="4" t="n"/>
      <c r="I17" s="4" t="n"/>
      <c r="J17" s="4" t="n"/>
      <c r="L17" s="17" t="inlineStr">
        <is>
          <t>Savings 5 (balance)</t>
        </is>
      </c>
      <c r="M17" s="9">
        <f>IF(Setup!A17&lt;&gt;"",Setup!B17+(SUMIFS('April'!F5:F64,'April'!D5:D64,"Added to Savings",'April'!I5:I64,Setup!A17)+SUMIFS('May'!F5:F64,'May'!D5:D64,"Added to Savings",'May'!I5:I64,Setup!A17)+SUMIFS('June'!F5:F64,'June'!D5:D64,"Added to Savings",'June'!I5:I64,Setup!A17)+SUMIFS('July'!F5:F64,'July'!D5:D64,"Added to Savings",'July'!I5:I64,Setup!A17)+SUMIFS('August'!F5:F64,'August'!D5:D64,"Added to Savings",'August'!I5:I64,Setup!A17)+SUMIFS('September'!F5:F64,'September'!D5:D64,"Added to Savings",'September'!I5:I64,Setup!A17)+SUMIFS('October'!F5:F64,'October'!D5:D64,"Added to Savings",'October'!I5:I64,Setup!A17)+SUMIFS('November'!F5:F64,'November'!D5:D64,"Added to Savings",'November'!I5:I64,Setup!A17))-(SUMIFS('April'!F5:F64,'April'!G5:G64,Setup!A17)+SUMIFS('May'!F5:F64,'May'!G5:G64,Setup!A17)+SUMIFS('June'!F5:F64,'June'!G5:G64,Setup!A17)+SUMIFS('July'!F5:F64,'July'!G5:G64,Setup!A17)+SUMIFS('August'!F5:F64,'August'!G5:G64,Setup!A17)+SUMIFS('September'!F5:F64,'September'!G5:G64,Setup!A17)+SUMIFS('October'!F5:F64,'October'!G5:G64,Setup!A17)+SUMIFS('November'!F5:F64,'November'!G5:G64,Setup!A17)),"")</f>
        <v/>
      </c>
    </row>
    <row r="18" ht="22" customHeight="1">
      <c r="A18" s="18">
        <f>IF(F18&lt;&gt;"",ROW()-4,"")</f>
        <v/>
      </c>
      <c r="B18" s="15" t="n"/>
      <c r="C18" s="4" t="n"/>
      <c r="D18" s="4" t="n"/>
      <c r="E18" s="4" t="n"/>
      <c r="F18" s="16" t="n"/>
      <c r="G18" s="4" t="n"/>
      <c r="H18" s="4" t="n"/>
      <c r="I18" s="4" t="n"/>
      <c r="J18" s="4" t="n"/>
      <c r="L18" s="17" t="inlineStr">
        <is>
          <t>Fixed Bills Paid</t>
        </is>
      </c>
      <c r="M18" s="9">
        <f>SUMIF(D5:D255,"Fixed Bills",F5:F255)</f>
        <v/>
      </c>
    </row>
    <row r="19" ht="22" customHeight="1">
      <c r="A19" s="14">
        <f>IF(F19&lt;&gt;"",ROW()-4,"")</f>
        <v/>
      </c>
      <c r="B19" s="15" t="n"/>
      <c r="C19" s="4" t="n"/>
      <c r="D19" s="4" t="n"/>
      <c r="E19" s="4" t="n"/>
      <c r="F19" s="16" t="n"/>
      <c r="G19" s="4" t="n"/>
      <c r="H19" s="4" t="n"/>
      <c r="I19" s="4" t="n"/>
      <c r="J19" s="4" t="n"/>
      <c r="L19" s="17" t="inlineStr">
        <is>
          <t>Food &amp; Dining</t>
        </is>
      </c>
      <c r="M19" s="9">
        <f>SUMIF(D5:D255,"Food &amp; Dining",F5:F255)</f>
        <v/>
      </c>
    </row>
    <row r="20" ht="22" customHeight="1">
      <c r="A20" s="18">
        <f>IF(F20&lt;&gt;"",ROW()-4,"")</f>
        <v/>
      </c>
      <c r="B20" s="15" t="n"/>
      <c r="C20" s="4" t="n"/>
      <c r="D20" s="4" t="n"/>
      <c r="E20" s="4" t="n"/>
      <c r="F20" s="16" t="n"/>
      <c r="G20" s="4" t="n"/>
      <c r="H20" s="4" t="n"/>
      <c r="I20" s="4" t="n"/>
      <c r="J20" s="4" t="n"/>
      <c r="L20" s="17" t="inlineStr">
        <is>
          <t>Transport</t>
        </is>
      </c>
      <c r="M20" s="9">
        <f>SUMIF(D5:D255,"Transport &amp; Fuel",F5:F255)</f>
        <v/>
      </c>
    </row>
    <row r="21" ht="22" customHeight="1">
      <c r="A21" s="14">
        <f>IF(F21&lt;&gt;"",ROW()-4,"")</f>
        <v/>
      </c>
      <c r="B21" s="15" t="n"/>
      <c r="C21" s="4" t="n"/>
      <c r="D21" s="4" t="n"/>
      <c r="E21" s="4" t="n"/>
      <c r="F21" s="16" t="n"/>
      <c r="G21" s="4" t="n"/>
      <c r="H21" s="4" t="n"/>
      <c r="I21" s="4" t="n"/>
      <c r="J21" s="4" t="n"/>
      <c r="L21" s="17" t="inlineStr">
        <is>
          <t>Groceries</t>
        </is>
      </c>
      <c r="M21" s="9">
        <f>SUMIF(D5:D255,"Groceries",F5:F255)</f>
        <v/>
      </c>
    </row>
    <row r="22" ht="22" customHeight="1">
      <c r="A22" s="18">
        <f>IF(F22&lt;&gt;"",ROW()-4,"")</f>
        <v/>
      </c>
      <c r="B22" s="15" t="n"/>
      <c r="C22" s="4" t="n"/>
      <c r="D22" s="4" t="n"/>
      <c r="E22" s="4" t="n"/>
      <c r="F22" s="16" t="n"/>
      <c r="G22" s="4" t="n"/>
      <c r="H22" s="4" t="n"/>
      <c r="I22" s="4" t="n"/>
      <c r="J22" s="4" t="n"/>
      <c r="L22" s="17" t="inlineStr">
        <is>
          <t>Shopping</t>
        </is>
      </c>
      <c r="M22" s="9">
        <f>SUMIF(D5:D255,"Shopping &amp; Clothing",F5:F255)</f>
        <v/>
      </c>
    </row>
    <row r="23" ht="22" customHeight="1">
      <c r="A23" s="14">
        <f>IF(F23&lt;&gt;"",ROW()-4,"")</f>
        <v/>
      </c>
      <c r="B23" s="15" t="n"/>
      <c r="C23" s="4" t="n"/>
      <c r="D23" s="4" t="n"/>
      <c r="E23" s="4" t="n"/>
      <c r="F23" s="16" t="n"/>
      <c r="G23" s="4" t="n"/>
      <c r="H23" s="4" t="n"/>
      <c r="I23" s="4" t="n"/>
      <c r="J23" s="4" t="n"/>
      <c r="L23" s="17" t="inlineStr">
        <is>
          <t>Entertainment</t>
        </is>
      </c>
      <c r="M23" s="9">
        <f>SUMIF(D5:D255,"Entertainment &amp; OTT",F5:F255)</f>
        <v/>
      </c>
    </row>
    <row r="24" ht="22" customHeight="1">
      <c r="A24" s="18">
        <f>IF(F24&lt;&gt;"",ROW()-4,"")</f>
        <v/>
      </c>
      <c r="B24" s="15" t="n"/>
      <c r="C24" s="4" t="n"/>
      <c r="D24" s="4" t="n"/>
      <c r="E24" s="4" t="n"/>
      <c r="F24" s="16" t="n"/>
      <c r="G24" s="4" t="n"/>
      <c r="H24" s="4" t="n"/>
      <c r="I24" s="4" t="n"/>
      <c r="J24" s="4" t="n"/>
      <c r="L24" s="17" t="inlineStr">
        <is>
          <t>Investment</t>
        </is>
      </c>
      <c r="M24" s="9">
        <f>SUMIF(D5:D255,"Investment",F5:F255)</f>
        <v/>
      </c>
    </row>
    <row r="25" ht="22" customHeight="1">
      <c r="A25" s="14">
        <f>IF(F25&lt;&gt;"",ROW()-4,"")</f>
        <v/>
      </c>
      <c r="B25" s="15" t="n"/>
      <c r="C25" s="4" t="n"/>
      <c r="D25" s="4" t="n"/>
      <c r="E25" s="4" t="n"/>
      <c r="F25" s="16" t="n"/>
      <c r="G25" s="4" t="n"/>
      <c r="H25" s="4" t="n"/>
      <c r="I25" s="4" t="n"/>
      <c r="J25" s="4" t="n"/>
      <c r="L25" s="17" t="inlineStr">
        <is>
          <t>Added to Savings</t>
        </is>
      </c>
      <c r="M25" s="9">
        <f>SUMIF(D5:D255,"Added to Savings",F5:F255)</f>
        <v/>
      </c>
    </row>
    <row r="26" ht="22" customHeight="1">
      <c r="A26" s="18">
        <f>IF(F26&lt;&gt;"",ROW()-4,"")</f>
        <v/>
      </c>
      <c r="B26" s="15" t="n"/>
      <c r="C26" s="4" t="n"/>
      <c r="D26" s="4" t="n"/>
      <c r="E26" s="4" t="n"/>
      <c r="F26" s="16" t="n"/>
      <c r="G26" s="4" t="n"/>
      <c r="H26" s="4" t="n"/>
      <c r="I26" s="4" t="n"/>
      <c r="J26" s="4" t="n"/>
      <c r="L26" s="17" t="inlineStr">
        <is>
          <t>CC Payments</t>
        </is>
      </c>
      <c r="M26" s="9">
        <f>SUMIF(D5:D255,"Credit Card Payment",F5:F255)</f>
        <v/>
      </c>
    </row>
    <row r="27" ht="22" customHeight="1">
      <c r="A27" s="14">
        <f>IF(F27&lt;&gt;"",ROW()-4,"")</f>
        <v/>
      </c>
      <c r="B27" s="15" t="n"/>
      <c r="C27" s="4" t="n"/>
      <c r="D27" s="4" t="n"/>
      <c r="E27" s="4" t="n"/>
      <c r="F27" s="16" t="n"/>
      <c r="G27" s="4" t="n"/>
      <c r="H27" s="4" t="n"/>
      <c r="I27" s="4" t="n"/>
      <c r="J27" s="4" t="n"/>
      <c r="L27" s="17" t="inlineStr">
        <is>
          <t>Miscellaneous</t>
        </is>
      </c>
      <c r="M27" s="9">
        <f>SUMIF(D5:D255,"Miscellaneous",F5:F255)</f>
        <v/>
      </c>
    </row>
    <row r="28">
      <c r="A28" s="18">
        <f>IF(F28&lt;&gt;"",ROW()-4,"")</f>
        <v/>
      </c>
      <c r="B28" s="15" t="n"/>
      <c r="C28" s="4" t="n"/>
      <c r="D28" s="4" t="n"/>
      <c r="E28" s="4" t="n"/>
      <c r="F28" s="16" t="n"/>
      <c r="G28" s="4" t="n"/>
      <c r="H28" s="4" t="n"/>
      <c r="I28" s="4" t="n"/>
      <c r="J28" s="4" t="n"/>
    </row>
    <row r="29">
      <c r="A29" s="14">
        <f>IF(F29&lt;&gt;"",ROW()-4,"")</f>
        <v/>
      </c>
      <c r="B29" s="15" t="n"/>
      <c r="C29" s="4" t="n"/>
      <c r="D29" s="4" t="n"/>
      <c r="E29" s="4" t="n"/>
      <c r="F29" s="16" t="n"/>
      <c r="G29" s="4" t="n"/>
      <c r="H29" s="4" t="n"/>
      <c r="I29" s="4" t="n"/>
      <c r="J29" s="4" t="n"/>
    </row>
    <row r="30">
      <c r="A30" s="18">
        <f>IF(F30&lt;&gt;"",ROW()-4,"")</f>
        <v/>
      </c>
      <c r="B30" s="15" t="n"/>
      <c r="C30" s="4" t="n"/>
      <c r="D30" s="4" t="n"/>
      <c r="E30" s="4" t="n"/>
      <c r="F30" s="16" t="n"/>
      <c r="G30" s="4" t="n"/>
      <c r="H30" s="4" t="n"/>
      <c r="I30" s="4" t="n"/>
      <c r="J30" s="4" t="n"/>
    </row>
    <row r="31">
      <c r="A31" s="14">
        <f>IF(F31&lt;&gt;"",ROW()-4,"")</f>
        <v/>
      </c>
      <c r="B31" s="15" t="n"/>
      <c r="C31" s="4" t="n"/>
      <c r="D31" s="4" t="n"/>
      <c r="E31" s="4" t="n"/>
      <c r="F31" s="16" t="n"/>
      <c r="G31" s="4" t="n"/>
      <c r="H31" s="4" t="n"/>
      <c r="I31" s="4" t="n"/>
      <c r="J31" s="4" t="n"/>
    </row>
    <row r="32">
      <c r="A32" s="18">
        <f>IF(F32&lt;&gt;"",ROW()-4,"")</f>
        <v/>
      </c>
      <c r="B32" s="15" t="n"/>
      <c r="C32" s="4" t="n"/>
      <c r="D32" s="4" t="n"/>
      <c r="E32" s="4" t="n"/>
      <c r="F32" s="16" t="n"/>
      <c r="G32" s="4" t="n"/>
      <c r="H32" s="4" t="n"/>
      <c r="I32" s="4" t="n"/>
      <c r="J32" s="4" t="n"/>
    </row>
    <row r="33">
      <c r="A33" s="14">
        <f>IF(F33&lt;&gt;"",ROW()-4,"")</f>
        <v/>
      </c>
      <c r="B33" s="15" t="n"/>
      <c r="C33" s="4" t="n"/>
      <c r="D33" s="4" t="n"/>
      <c r="E33" s="4" t="n"/>
      <c r="F33" s="16" t="n"/>
      <c r="G33" s="4" t="n"/>
      <c r="H33" s="4" t="n"/>
      <c r="I33" s="4" t="n"/>
      <c r="J33" s="4" t="n"/>
    </row>
    <row r="34">
      <c r="A34" s="18">
        <f>IF(F34&lt;&gt;"",ROW()-4,"")</f>
        <v/>
      </c>
      <c r="B34" s="15" t="n"/>
      <c r="C34" s="4" t="n"/>
      <c r="D34" s="4" t="n"/>
      <c r="E34" s="4" t="n"/>
      <c r="F34" s="16" t="n"/>
      <c r="G34" s="4" t="n"/>
      <c r="H34" s="4" t="n"/>
      <c r="I34" s="4" t="n"/>
      <c r="J34" s="4" t="n"/>
    </row>
    <row r="35">
      <c r="A35" s="14">
        <f>IF(F35&lt;&gt;"",ROW()-4,"")</f>
        <v/>
      </c>
      <c r="B35" s="15" t="n"/>
      <c r="C35" s="4" t="n"/>
      <c r="D35" s="4" t="n"/>
      <c r="E35" s="4" t="n"/>
      <c r="F35" s="16" t="n"/>
      <c r="G35" s="4" t="n"/>
      <c r="H35" s="4" t="n"/>
      <c r="I35" s="4" t="n"/>
      <c r="J35" s="4" t="n"/>
    </row>
    <row r="36">
      <c r="A36" s="18">
        <f>IF(F36&lt;&gt;"",ROW()-4,"")</f>
        <v/>
      </c>
      <c r="B36" s="15" t="n"/>
      <c r="C36" s="4" t="n"/>
      <c r="D36" s="4" t="n"/>
      <c r="E36" s="4" t="n"/>
      <c r="F36" s="16" t="n"/>
      <c r="G36" s="4" t="n"/>
      <c r="H36" s="4" t="n"/>
      <c r="I36" s="4" t="n"/>
      <c r="J36" s="4" t="n"/>
    </row>
    <row r="37">
      <c r="A37" s="14">
        <f>IF(F37&lt;&gt;"",ROW()-4,"")</f>
        <v/>
      </c>
      <c r="B37" s="15" t="n"/>
      <c r="C37" s="4" t="n"/>
      <c r="D37" s="4" t="n"/>
      <c r="E37" s="4" t="n"/>
      <c r="F37" s="16" t="n"/>
      <c r="G37" s="4" t="n"/>
      <c r="H37" s="4" t="n"/>
      <c r="I37" s="4" t="n"/>
      <c r="J37" s="4" t="n"/>
    </row>
    <row r="38">
      <c r="A38" s="18">
        <f>IF(F38&lt;&gt;"",ROW()-4,"")</f>
        <v/>
      </c>
      <c r="B38" s="15" t="n"/>
      <c r="C38" s="4" t="n"/>
      <c r="D38" s="4" t="n"/>
      <c r="E38" s="4" t="n"/>
      <c r="F38" s="16" t="n"/>
      <c r="G38" s="4" t="n"/>
      <c r="H38" s="4" t="n"/>
      <c r="I38" s="4" t="n"/>
      <c r="J38" s="4" t="n"/>
    </row>
    <row r="39">
      <c r="A39" s="14">
        <f>IF(F39&lt;&gt;"",ROW()-4,"")</f>
        <v/>
      </c>
      <c r="B39" s="15" t="n"/>
      <c r="C39" s="4" t="n"/>
      <c r="D39" s="4" t="n"/>
      <c r="E39" s="4" t="n"/>
      <c r="F39" s="16" t="n"/>
      <c r="G39" s="4" t="n"/>
      <c r="H39" s="4" t="n"/>
      <c r="I39" s="4" t="n"/>
      <c r="J39" s="4" t="n"/>
    </row>
    <row r="40">
      <c r="A40" s="18">
        <f>IF(F40&lt;&gt;"",ROW()-4,"")</f>
        <v/>
      </c>
      <c r="B40" s="15" t="n"/>
      <c r="C40" s="4" t="n"/>
      <c r="D40" s="4" t="n"/>
      <c r="E40" s="4" t="n"/>
      <c r="F40" s="16" t="n"/>
      <c r="G40" s="4" t="n"/>
      <c r="H40" s="4" t="n"/>
      <c r="I40" s="4" t="n"/>
      <c r="J40" s="4" t="n"/>
    </row>
    <row r="41">
      <c r="A41" s="14">
        <f>IF(F41&lt;&gt;"",ROW()-4,"")</f>
        <v/>
      </c>
      <c r="B41" s="15" t="n"/>
      <c r="C41" s="4" t="n"/>
      <c r="D41" s="4" t="n"/>
      <c r="E41" s="4" t="n"/>
      <c r="F41" s="16" t="n"/>
      <c r="G41" s="4" t="n"/>
      <c r="H41" s="4" t="n"/>
      <c r="I41" s="4" t="n"/>
      <c r="J41" s="4" t="n"/>
    </row>
    <row r="42">
      <c r="A42" s="18">
        <f>IF(F42&lt;&gt;"",ROW()-4,"")</f>
        <v/>
      </c>
      <c r="B42" s="15" t="n"/>
      <c r="C42" s="4" t="n"/>
      <c r="D42" s="4" t="n"/>
      <c r="E42" s="4" t="n"/>
      <c r="F42" s="16" t="n"/>
      <c r="G42" s="4" t="n"/>
      <c r="H42" s="4" t="n"/>
      <c r="I42" s="4" t="n"/>
      <c r="J42" s="4" t="n"/>
    </row>
    <row r="43">
      <c r="A43" s="14">
        <f>IF(F43&lt;&gt;"",ROW()-4,"")</f>
        <v/>
      </c>
      <c r="B43" s="15" t="n"/>
      <c r="C43" s="4" t="n"/>
      <c r="D43" s="4" t="n"/>
      <c r="E43" s="4" t="n"/>
      <c r="F43" s="16" t="n"/>
      <c r="G43" s="4" t="n"/>
      <c r="H43" s="4" t="n"/>
      <c r="I43" s="4" t="n"/>
      <c r="J43" s="4" t="n"/>
    </row>
    <row r="44">
      <c r="A44" s="18">
        <f>IF(F44&lt;&gt;"",ROW()-4,"")</f>
        <v/>
      </c>
      <c r="B44" s="15" t="n"/>
      <c r="C44" s="4" t="n"/>
      <c r="D44" s="4" t="n"/>
      <c r="E44" s="4" t="n"/>
      <c r="F44" s="16" t="n"/>
      <c r="G44" s="4" t="n"/>
      <c r="H44" s="4" t="n"/>
      <c r="I44" s="4" t="n"/>
      <c r="J44" s="4" t="n"/>
    </row>
    <row r="45">
      <c r="A45" s="14">
        <f>IF(F45&lt;&gt;"",ROW()-4,"")</f>
        <v/>
      </c>
      <c r="B45" s="15" t="n"/>
      <c r="C45" s="4" t="n"/>
      <c r="D45" s="4" t="n"/>
      <c r="E45" s="4" t="n"/>
      <c r="F45" s="16" t="n"/>
      <c r="G45" s="4" t="n"/>
      <c r="H45" s="4" t="n"/>
      <c r="I45" s="4" t="n"/>
      <c r="J45" s="4" t="n"/>
    </row>
    <row r="46">
      <c r="A46" s="18">
        <f>IF(F46&lt;&gt;"",ROW()-4,"")</f>
        <v/>
      </c>
      <c r="B46" s="15" t="n"/>
      <c r="C46" s="4" t="n"/>
      <c r="D46" s="4" t="n"/>
      <c r="E46" s="4" t="n"/>
      <c r="F46" s="16" t="n"/>
      <c r="G46" s="4" t="n"/>
      <c r="H46" s="4" t="n"/>
      <c r="I46" s="4" t="n"/>
      <c r="J46" s="4" t="n"/>
    </row>
    <row r="47">
      <c r="A47" s="14">
        <f>IF(F47&lt;&gt;"",ROW()-4,"")</f>
        <v/>
      </c>
      <c r="B47" s="15" t="n"/>
      <c r="C47" s="4" t="n"/>
      <c r="D47" s="4" t="n"/>
      <c r="E47" s="4" t="n"/>
      <c r="F47" s="16" t="n"/>
      <c r="G47" s="4" t="n"/>
      <c r="H47" s="4" t="n"/>
      <c r="I47" s="4" t="n"/>
      <c r="J47" s="4" t="n"/>
    </row>
    <row r="48">
      <c r="A48" s="18">
        <f>IF(F48&lt;&gt;"",ROW()-4,"")</f>
        <v/>
      </c>
      <c r="B48" s="15" t="n"/>
      <c r="C48" s="4" t="n"/>
      <c r="D48" s="4" t="n"/>
      <c r="E48" s="4" t="n"/>
      <c r="F48" s="16" t="n"/>
      <c r="G48" s="4" t="n"/>
      <c r="H48" s="4" t="n"/>
      <c r="I48" s="4" t="n"/>
      <c r="J48" s="4" t="n"/>
    </row>
    <row r="49">
      <c r="A49" s="14">
        <f>IF(F49&lt;&gt;"",ROW()-4,"")</f>
        <v/>
      </c>
      <c r="B49" s="15" t="n"/>
      <c r="C49" s="4" t="n"/>
      <c r="D49" s="4" t="n"/>
      <c r="E49" s="4" t="n"/>
      <c r="F49" s="16" t="n"/>
      <c r="G49" s="4" t="n"/>
      <c r="H49" s="4" t="n"/>
      <c r="I49" s="4" t="n"/>
      <c r="J49" s="4" t="n"/>
    </row>
    <row r="50">
      <c r="A50" s="18">
        <f>IF(F50&lt;&gt;"",ROW()-4,"")</f>
        <v/>
      </c>
      <c r="B50" s="15" t="n"/>
      <c r="C50" s="4" t="n"/>
      <c r="D50" s="4" t="n"/>
      <c r="E50" s="4" t="n"/>
      <c r="F50" s="16" t="n"/>
      <c r="G50" s="4" t="n"/>
      <c r="H50" s="4" t="n"/>
      <c r="I50" s="4" t="n"/>
      <c r="J50" s="4" t="n"/>
    </row>
    <row r="51">
      <c r="A51" s="14">
        <f>IF(F51&lt;&gt;"",ROW()-4,"")</f>
        <v/>
      </c>
      <c r="B51" s="15" t="n"/>
      <c r="C51" s="4" t="n"/>
      <c r="D51" s="4" t="n"/>
      <c r="E51" s="4" t="n"/>
      <c r="F51" s="16" t="n"/>
      <c r="G51" s="4" t="n"/>
      <c r="H51" s="4" t="n"/>
      <c r="I51" s="4" t="n"/>
      <c r="J51" s="4" t="n"/>
    </row>
    <row r="52">
      <c r="A52" s="18">
        <f>IF(F52&lt;&gt;"",ROW()-4,"")</f>
        <v/>
      </c>
      <c r="B52" s="15" t="n"/>
      <c r="C52" s="4" t="n"/>
      <c r="D52" s="4" t="n"/>
      <c r="E52" s="4" t="n"/>
      <c r="F52" s="16" t="n"/>
      <c r="G52" s="4" t="n"/>
      <c r="H52" s="4" t="n"/>
      <c r="I52" s="4" t="n"/>
      <c r="J52" s="4" t="n"/>
    </row>
    <row r="53">
      <c r="A53" s="14">
        <f>IF(F53&lt;&gt;"",ROW()-4,"")</f>
        <v/>
      </c>
      <c r="B53" s="15" t="n"/>
      <c r="C53" s="4" t="n"/>
      <c r="D53" s="4" t="n"/>
      <c r="E53" s="4" t="n"/>
      <c r="F53" s="16" t="n"/>
      <c r="G53" s="4" t="n"/>
      <c r="H53" s="4" t="n"/>
      <c r="I53" s="4" t="n"/>
      <c r="J53" s="4" t="n"/>
    </row>
    <row r="54">
      <c r="A54" s="18">
        <f>IF(F54&lt;&gt;"",ROW()-4,"")</f>
        <v/>
      </c>
      <c r="B54" s="15" t="n"/>
      <c r="C54" s="4" t="n"/>
      <c r="D54" s="4" t="n"/>
      <c r="E54" s="4" t="n"/>
      <c r="F54" s="16" t="n"/>
      <c r="G54" s="4" t="n"/>
      <c r="H54" s="4" t="n"/>
      <c r="I54" s="4" t="n"/>
      <c r="J54" s="4" t="n"/>
    </row>
    <row r="55">
      <c r="A55" s="14">
        <f>IF(F55&lt;&gt;"",ROW()-4,"")</f>
        <v/>
      </c>
      <c r="B55" s="15" t="n"/>
      <c r="C55" s="4" t="n"/>
      <c r="D55" s="4" t="n"/>
      <c r="E55" s="4" t="n"/>
      <c r="F55" s="16" t="n"/>
      <c r="G55" s="4" t="n"/>
      <c r="H55" s="4" t="n"/>
      <c r="I55" s="4" t="n"/>
      <c r="J55" s="4" t="n"/>
    </row>
    <row r="56">
      <c r="A56" s="18">
        <f>IF(F56&lt;&gt;"",ROW()-4,"")</f>
        <v/>
      </c>
      <c r="B56" s="15" t="n"/>
      <c r="C56" s="4" t="n"/>
      <c r="D56" s="4" t="n"/>
      <c r="E56" s="4" t="n"/>
      <c r="F56" s="16" t="n"/>
      <c r="G56" s="4" t="n"/>
      <c r="H56" s="4" t="n"/>
      <c r="I56" s="4" t="n"/>
      <c r="J56" s="4" t="n"/>
    </row>
    <row r="57">
      <c r="A57" s="14">
        <f>IF(F57&lt;&gt;"",ROW()-4,"")</f>
        <v/>
      </c>
      <c r="B57" s="15" t="n"/>
      <c r="C57" s="4" t="n"/>
      <c r="D57" s="4" t="n"/>
      <c r="E57" s="4" t="n"/>
      <c r="F57" s="16" t="n"/>
      <c r="G57" s="4" t="n"/>
      <c r="H57" s="4" t="n"/>
      <c r="I57" s="4" t="n"/>
      <c r="J57" s="4" t="n"/>
    </row>
    <row r="58">
      <c r="A58" s="18">
        <f>IF(F58&lt;&gt;"",ROW()-4,"")</f>
        <v/>
      </c>
      <c r="B58" s="15" t="n"/>
      <c r="C58" s="4" t="n"/>
      <c r="D58" s="4" t="n"/>
      <c r="E58" s="4" t="n"/>
      <c r="F58" s="16" t="n"/>
      <c r="G58" s="4" t="n"/>
      <c r="H58" s="4" t="n"/>
      <c r="I58" s="4" t="n"/>
      <c r="J58" s="4" t="n"/>
    </row>
    <row r="59">
      <c r="A59" s="14">
        <f>IF(F59&lt;&gt;"",ROW()-4,"")</f>
        <v/>
      </c>
      <c r="B59" s="15" t="n"/>
      <c r="C59" s="4" t="n"/>
      <c r="D59" s="4" t="n"/>
      <c r="E59" s="4" t="n"/>
      <c r="F59" s="16" t="n"/>
      <c r="G59" s="4" t="n"/>
      <c r="H59" s="4" t="n"/>
      <c r="I59" s="4" t="n"/>
      <c r="J59" s="4" t="n"/>
    </row>
    <row r="60">
      <c r="A60" s="18">
        <f>IF(F60&lt;&gt;"",ROW()-4,"")</f>
        <v/>
      </c>
      <c r="B60" s="15" t="n"/>
      <c r="C60" s="4" t="n"/>
      <c r="D60" s="4" t="n"/>
      <c r="E60" s="4" t="n"/>
      <c r="F60" s="16" t="n"/>
      <c r="G60" s="4" t="n"/>
      <c r="H60" s="4" t="n"/>
      <c r="I60" s="4" t="n"/>
      <c r="J60" s="4" t="n"/>
    </row>
    <row r="61">
      <c r="A61" s="14">
        <f>IF(F61&lt;&gt;"",ROW()-4,"")</f>
        <v/>
      </c>
      <c r="B61" s="15" t="n"/>
      <c r="C61" s="4" t="n"/>
      <c r="D61" s="4" t="n"/>
      <c r="E61" s="4" t="n"/>
      <c r="F61" s="16" t="n"/>
      <c r="G61" s="4" t="n"/>
      <c r="H61" s="4" t="n"/>
      <c r="I61" s="4" t="n"/>
      <c r="J61" s="4" t="n"/>
    </row>
    <row r="62">
      <c r="A62" s="18">
        <f>IF(F62&lt;&gt;"",ROW()-4,"")</f>
        <v/>
      </c>
      <c r="B62" s="15" t="n"/>
      <c r="C62" s="4" t="n"/>
      <c r="D62" s="4" t="n"/>
      <c r="E62" s="4" t="n"/>
      <c r="F62" s="16" t="n"/>
      <c r="G62" s="4" t="n"/>
      <c r="H62" s="4" t="n"/>
      <c r="I62" s="4" t="n"/>
      <c r="J62" s="4" t="n"/>
    </row>
    <row r="63">
      <c r="A63" s="14">
        <f>IF(F63&lt;&gt;"",ROW()-4,"")</f>
        <v/>
      </c>
      <c r="B63" s="15" t="n"/>
      <c r="C63" s="4" t="n"/>
      <c r="D63" s="4" t="n"/>
      <c r="E63" s="4" t="n"/>
      <c r="F63" s="16" t="n"/>
      <c r="G63" s="4" t="n"/>
      <c r="H63" s="4" t="n"/>
      <c r="I63" s="4" t="n"/>
      <c r="J63" s="4" t="n"/>
    </row>
    <row r="64">
      <c r="A64" s="18">
        <f>IF(F64&lt;&gt;"",ROW()-4,"")</f>
        <v/>
      </c>
      <c r="B64" s="15" t="n"/>
      <c r="C64" s="4" t="n"/>
      <c r="D64" s="4" t="n"/>
      <c r="E64" s="4" t="n"/>
      <c r="F64" s="16" t="n"/>
      <c r="G64" s="4" t="n"/>
      <c r="H64" s="4" t="n"/>
      <c r="I64" s="4" t="n"/>
      <c r="J64" s="4" t="n"/>
    </row>
    <row r="65">
      <c r="A65" s="14">
        <f>IF(F65&lt;&gt;"",ROW()-4,"")</f>
        <v/>
      </c>
      <c r="B65" s="15" t="n"/>
      <c r="C65" s="4" t="n"/>
      <c r="D65" s="4" t="n"/>
      <c r="E65" s="4" t="n"/>
      <c r="F65" s="16" t="n"/>
      <c r="G65" s="4" t="n"/>
      <c r="H65" s="4" t="n"/>
      <c r="I65" s="4" t="n"/>
      <c r="J65" s="4" t="n"/>
    </row>
    <row r="66">
      <c r="A66" s="18">
        <f>IF(F66&lt;&gt;"",ROW()-4,"")</f>
        <v/>
      </c>
      <c r="B66" s="15" t="n"/>
      <c r="C66" s="4" t="n"/>
      <c r="D66" s="4" t="n"/>
      <c r="E66" s="4" t="n"/>
      <c r="F66" s="16" t="n"/>
      <c r="G66" s="4" t="n"/>
      <c r="H66" s="4" t="n"/>
      <c r="I66" s="4" t="n"/>
      <c r="J66" s="4" t="n"/>
    </row>
    <row r="67">
      <c r="A67" s="14">
        <f>IF(F67&lt;&gt;"",ROW()-4,"")</f>
        <v/>
      </c>
      <c r="B67" s="15" t="n"/>
      <c r="C67" s="4" t="n"/>
      <c r="D67" s="4" t="n"/>
      <c r="E67" s="4" t="n"/>
      <c r="F67" s="16" t="n"/>
      <c r="G67" s="4" t="n"/>
      <c r="H67" s="4" t="n"/>
      <c r="I67" s="4" t="n"/>
      <c r="J67" s="4" t="n"/>
    </row>
    <row r="68">
      <c r="A68" s="18">
        <f>IF(F68&lt;&gt;"",ROW()-4,"")</f>
        <v/>
      </c>
      <c r="B68" s="15" t="n"/>
      <c r="C68" s="4" t="n"/>
      <c r="D68" s="4" t="n"/>
      <c r="E68" s="4" t="n"/>
      <c r="F68" s="16" t="n"/>
      <c r="G68" s="4" t="n"/>
      <c r="H68" s="4" t="n"/>
      <c r="I68" s="4" t="n"/>
      <c r="J68" s="4" t="n"/>
    </row>
    <row r="69">
      <c r="A69" s="14">
        <f>IF(F69&lt;&gt;"",ROW()-4,"")</f>
        <v/>
      </c>
      <c r="B69" s="15" t="n"/>
      <c r="C69" s="4" t="n"/>
      <c r="D69" s="4" t="n"/>
      <c r="E69" s="4" t="n"/>
      <c r="F69" s="16" t="n"/>
      <c r="G69" s="4" t="n"/>
      <c r="H69" s="4" t="n"/>
      <c r="I69" s="4" t="n"/>
      <c r="J69" s="4" t="n"/>
    </row>
    <row r="70">
      <c r="A70" s="18">
        <f>IF(F70&lt;&gt;"",ROW()-4,"")</f>
        <v/>
      </c>
      <c r="B70" s="15" t="n"/>
      <c r="C70" s="4" t="n"/>
      <c r="D70" s="4" t="n"/>
      <c r="E70" s="4" t="n"/>
      <c r="F70" s="16" t="n"/>
      <c r="G70" s="4" t="n"/>
      <c r="H70" s="4" t="n"/>
      <c r="I70" s="4" t="n"/>
      <c r="J70" s="4" t="n"/>
    </row>
    <row r="71">
      <c r="A71" s="14">
        <f>IF(F71&lt;&gt;"",ROW()-4,"")</f>
        <v/>
      </c>
      <c r="B71" s="15" t="n"/>
      <c r="C71" s="4" t="n"/>
      <c r="D71" s="4" t="n"/>
      <c r="E71" s="4" t="n"/>
      <c r="F71" s="16" t="n"/>
      <c r="G71" s="4" t="n"/>
      <c r="H71" s="4" t="n"/>
      <c r="I71" s="4" t="n"/>
      <c r="J71" s="4" t="n"/>
    </row>
    <row r="72">
      <c r="A72" s="18">
        <f>IF(F72&lt;&gt;"",ROW()-4,"")</f>
        <v/>
      </c>
      <c r="B72" s="15" t="n"/>
      <c r="C72" s="4" t="n"/>
      <c r="D72" s="4" t="n"/>
      <c r="E72" s="4" t="n"/>
      <c r="F72" s="16" t="n"/>
      <c r="G72" s="4" t="n"/>
      <c r="H72" s="4" t="n"/>
      <c r="I72" s="4" t="n"/>
      <c r="J72" s="4" t="n"/>
    </row>
    <row r="73">
      <c r="A73" s="14">
        <f>IF(F73&lt;&gt;"",ROW()-4,"")</f>
        <v/>
      </c>
      <c r="B73" s="15" t="n"/>
      <c r="C73" s="4" t="n"/>
      <c r="D73" s="4" t="n"/>
      <c r="E73" s="4" t="n"/>
      <c r="F73" s="16" t="n"/>
      <c r="G73" s="4" t="n"/>
      <c r="H73" s="4" t="n"/>
      <c r="I73" s="4" t="n"/>
      <c r="J73" s="4" t="n"/>
    </row>
    <row r="74">
      <c r="A74" s="18">
        <f>IF(F74&lt;&gt;"",ROW()-4,"")</f>
        <v/>
      </c>
      <c r="B74" s="15" t="n"/>
      <c r="C74" s="4" t="n"/>
      <c r="D74" s="4" t="n"/>
      <c r="E74" s="4" t="n"/>
      <c r="F74" s="16" t="n"/>
      <c r="G74" s="4" t="n"/>
      <c r="H74" s="4" t="n"/>
      <c r="I74" s="4" t="n"/>
      <c r="J74" s="4" t="n"/>
    </row>
    <row r="75">
      <c r="A75" s="14">
        <f>IF(F75&lt;&gt;"",ROW()-4,"")</f>
        <v/>
      </c>
      <c r="B75" s="15" t="n"/>
      <c r="C75" s="4" t="n"/>
      <c r="D75" s="4" t="n"/>
      <c r="E75" s="4" t="n"/>
      <c r="F75" s="16" t="n"/>
      <c r="G75" s="4" t="n"/>
      <c r="H75" s="4" t="n"/>
      <c r="I75" s="4" t="n"/>
      <c r="J75" s="4" t="n"/>
    </row>
    <row r="76">
      <c r="A76" s="18">
        <f>IF(F76&lt;&gt;"",ROW()-4,"")</f>
        <v/>
      </c>
      <c r="B76" s="15" t="n"/>
      <c r="C76" s="4" t="n"/>
      <c r="D76" s="4" t="n"/>
      <c r="E76" s="4" t="n"/>
      <c r="F76" s="16" t="n"/>
      <c r="G76" s="4" t="n"/>
      <c r="H76" s="4" t="n"/>
      <c r="I76" s="4" t="n"/>
      <c r="J76" s="4" t="n"/>
    </row>
    <row r="77">
      <c r="A77" s="14">
        <f>IF(F77&lt;&gt;"",ROW()-4,"")</f>
        <v/>
      </c>
      <c r="B77" s="15" t="n"/>
      <c r="C77" s="4" t="n"/>
      <c r="D77" s="4" t="n"/>
      <c r="E77" s="4" t="n"/>
      <c r="F77" s="16" t="n"/>
      <c r="G77" s="4" t="n"/>
      <c r="H77" s="4" t="n"/>
      <c r="I77" s="4" t="n"/>
      <c r="J77" s="4" t="n"/>
    </row>
    <row r="78">
      <c r="A78" s="18">
        <f>IF(F78&lt;&gt;"",ROW()-4,"")</f>
        <v/>
      </c>
      <c r="B78" s="15" t="n"/>
      <c r="C78" s="4" t="n"/>
      <c r="D78" s="4" t="n"/>
      <c r="E78" s="4" t="n"/>
      <c r="F78" s="16" t="n"/>
      <c r="G78" s="4" t="n"/>
      <c r="H78" s="4" t="n"/>
      <c r="I78" s="4" t="n"/>
      <c r="J78" s="4" t="n"/>
    </row>
    <row r="79">
      <c r="A79" s="14">
        <f>IF(F79&lt;&gt;"",ROW()-4,"")</f>
        <v/>
      </c>
      <c r="B79" s="15" t="n"/>
      <c r="C79" s="4" t="n"/>
      <c r="D79" s="4" t="n"/>
      <c r="E79" s="4" t="n"/>
      <c r="F79" s="16" t="n"/>
      <c r="G79" s="4" t="n"/>
      <c r="H79" s="4" t="n"/>
      <c r="I79" s="4" t="n"/>
      <c r="J79" s="4" t="n"/>
    </row>
    <row r="80">
      <c r="A80" s="18">
        <f>IF(F80&lt;&gt;"",ROW()-4,"")</f>
        <v/>
      </c>
      <c r="B80" s="15" t="n"/>
      <c r="C80" s="4" t="n"/>
      <c r="D80" s="4" t="n"/>
      <c r="E80" s="4" t="n"/>
      <c r="F80" s="16" t="n"/>
      <c r="G80" s="4" t="n"/>
      <c r="H80" s="4" t="n"/>
      <c r="I80" s="4" t="n"/>
      <c r="J80" s="4" t="n"/>
    </row>
    <row r="81">
      <c r="A81" s="14">
        <f>IF(F81&lt;&gt;"",ROW()-4,"")</f>
        <v/>
      </c>
      <c r="B81" s="15" t="n"/>
      <c r="C81" s="4" t="n"/>
      <c r="D81" s="4" t="n"/>
      <c r="E81" s="4" t="n"/>
      <c r="F81" s="16" t="n"/>
      <c r="G81" s="4" t="n"/>
      <c r="H81" s="4" t="n"/>
      <c r="I81" s="4" t="n"/>
      <c r="J81" s="4" t="n"/>
    </row>
    <row r="82">
      <c r="A82" s="18">
        <f>IF(F82&lt;&gt;"",ROW()-4,"")</f>
        <v/>
      </c>
      <c r="B82" s="15" t="n"/>
      <c r="C82" s="4" t="n"/>
      <c r="D82" s="4" t="n"/>
      <c r="E82" s="4" t="n"/>
      <c r="F82" s="16" t="n"/>
      <c r="G82" s="4" t="n"/>
      <c r="H82" s="4" t="n"/>
      <c r="I82" s="4" t="n"/>
      <c r="J82" s="4" t="n"/>
    </row>
    <row r="83">
      <c r="A83" s="14">
        <f>IF(F83&lt;&gt;"",ROW()-4,"")</f>
        <v/>
      </c>
      <c r="B83" s="15" t="n"/>
      <c r="C83" s="4" t="n"/>
      <c r="D83" s="4" t="n"/>
      <c r="E83" s="4" t="n"/>
      <c r="F83" s="16" t="n"/>
      <c r="G83" s="4" t="n"/>
      <c r="H83" s="4" t="n"/>
      <c r="I83" s="4" t="n"/>
      <c r="J83" s="4" t="n"/>
    </row>
    <row r="84">
      <c r="A84" s="18">
        <f>IF(F84&lt;&gt;"",ROW()-4,"")</f>
        <v/>
      </c>
      <c r="B84" s="15" t="n"/>
      <c r="C84" s="4" t="n"/>
      <c r="D84" s="4" t="n"/>
      <c r="E84" s="4" t="n"/>
      <c r="F84" s="16" t="n"/>
      <c r="G84" s="4" t="n"/>
      <c r="H84" s="4" t="n"/>
      <c r="I84" s="4" t="n"/>
      <c r="J84" s="4" t="n"/>
    </row>
    <row r="85">
      <c r="A85" s="14">
        <f>IF(F85&lt;&gt;"",ROW()-4,"")</f>
        <v/>
      </c>
      <c r="B85" s="15" t="n"/>
      <c r="C85" s="4" t="n"/>
      <c r="D85" s="4" t="n"/>
      <c r="E85" s="4" t="n"/>
      <c r="F85" s="16" t="n"/>
      <c r="G85" s="4" t="n"/>
      <c r="H85" s="4" t="n"/>
      <c r="I85" s="4" t="n"/>
      <c r="J85" s="4" t="n"/>
    </row>
    <row r="86">
      <c r="A86" s="18">
        <f>IF(F86&lt;&gt;"",ROW()-4,"")</f>
        <v/>
      </c>
      <c r="B86" s="15" t="n"/>
      <c r="C86" s="4" t="n"/>
      <c r="D86" s="4" t="n"/>
      <c r="E86" s="4" t="n"/>
      <c r="F86" s="16" t="n"/>
      <c r="G86" s="4" t="n"/>
      <c r="H86" s="4" t="n"/>
      <c r="I86" s="4" t="n"/>
      <c r="J86" s="4" t="n"/>
    </row>
    <row r="87">
      <c r="A87" s="14">
        <f>IF(F87&lt;&gt;"",ROW()-4,"")</f>
        <v/>
      </c>
      <c r="B87" s="15" t="n"/>
      <c r="C87" s="4" t="n"/>
      <c r="D87" s="4" t="n"/>
      <c r="E87" s="4" t="n"/>
      <c r="F87" s="16" t="n"/>
      <c r="G87" s="4" t="n"/>
      <c r="H87" s="4" t="n"/>
      <c r="I87" s="4" t="n"/>
      <c r="J87" s="4" t="n"/>
    </row>
    <row r="88">
      <c r="A88" s="18">
        <f>IF(F88&lt;&gt;"",ROW()-4,"")</f>
        <v/>
      </c>
      <c r="B88" s="15" t="n"/>
      <c r="C88" s="4" t="n"/>
      <c r="D88" s="4" t="n"/>
      <c r="E88" s="4" t="n"/>
      <c r="F88" s="16" t="n"/>
      <c r="G88" s="4" t="n"/>
      <c r="H88" s="4" t="n"/>
      <c r="I88" s="4" t="n"/>
      <c r="J88" s="4" t="n"/>
    </row>
    <row r="89">
      <c r="A89" s="14">
        <f>IF(F89&lt;&gt;"",ROW()-4,"")</f>
        <v/>
      </c>
      <c r="B89" s="15" t="n"/>
      <c r="C89" s="4" t="n"/>
      <c r="D89" s="4" t="n"/>
      <c r="E89" s="4" t="n"/>
      <c r="F89" s="16" t="n"/>
      <c r="G89" s="4" t="n"/>
      <c r="H89" s="4" t="n"/>
      <c r="I89" s="4" t="n"/>
      <c r="J89" s="4" t="n"/>
    </row>
    <row r="90">
      <c r="A90" s="18">
        <f>IF(F90&lt;&gt;"",ROW()-4,"")</f>
        <v/>
      </c>
      <c r="B90" s="15" t="n"/>
      <c r="C90" s="4" t="n"/>
      <c r="D90" s="4" t="n"/>
      <c r="E90" s="4" t="n"/>
      <c r="F90" s="16" t="n"/>
      <c r="G90" s="4" t="n"/>
      <c r="H90" s="4" t="n"/>
      <c r="I90" s="4" t="n"/>
      <c r="J90" s="4" t="n"/>
    </row>
    <row r="91">
      <c r="A91" s="14">
        <f>IF(F91&lt;&gt;"",ROW()-4,"")</f>
        <v/>
      </c>
      <c r="B91" s="15" t="n"/>
      <c r="C91" s="4" t="n"/>
      <c r="D91" s="4" t="n"/>
      <c r="E91" s="4" t="n"/>
      <c r="F91" s="16" t="n"/>
      <c r="G91" s="4" t="n"/>
      <c r="H91" s="4" t="n"/>
      <c r="I91" s="4" t="n"/>
      <c r="J91" s="4" t="n"/>
    </row>
    <row r="92">
      <c r="A92" s="18">
        <f>IF(F92&lt;&gt;"",ROW()-4,"")</f>
        <v/>
      </c>
      <c r="B92" s="15" t="n"/>
      <c r="C92" s="4" t="n"/>
      <c r="D92" s="4" t="n"/>
      <c r="E92" s="4" t="n"/>
      <c r="F92" s="16" t="n"/>
      <c r="G92" s="4" t="n"/>
      <c r="H92" s="4" t="n"/>
      <c r="I92" s="4" t="n"/>
      <c r="J92" s="4" t="n"/>
    </row>
    <row r="93">
      <c r="A93" s="14">
        <f>IF(F93&lt;&gt;"",ROW()-4,"")</f>
        <v/>
      </c>
      <c r="B93" s="15" t="n"/>
      <c r="C93" s="4" t="n"/>
      <c r="D93" s="4" t="n"/>
      <c r="E93" s="4" t="n"/>
      <c r="F93" s="16" t="n"/>
      <c r="G93" s="4" t="n"/>
      <c r="H93" s="4" t="n"/>
      <c r="I93" s="4" t="n"/>
      <c r="J93" s="4" t="n"/>
    </row>
    <row r="94">
      <c r="A94" s="18">
        <f>IF(F94&lt;&gt;"",ROW()-4,"")</f>
        <v/>
      </c>
      <c r="B94" s="15" t="n"/>
      <c r="C94" s="4" t="n"/>
      <c r="D94" s="4" t="n"/>
      <c r="E94" s="4" t="n"/>
      <c r="F94" s="16" t="n"/>
      <c r="G94" s="4" t="n"/>
      <c r="H94" s="4" t="n"/>
      <c r="I94" s="4" t="n"/>
      <c r="J94" s="4" t="n"/>
    </row>
    <row r="95">
      <c r="A95" s="14">
        <f>IF(F95&lt;&gt;"",ROW()-4,"")</f>
        <v/>
      </c>
      <c r="B95" s="15" t="n"/>
      <c r="C95" s="4" t="n"/>
      <c r="D95" s="4" t="n"/>
      <c r="E95" s="4" t="n"/>
      <c r="F95" s="16" t="n"/>
      <c r="G95" s="4" t="n"/>
      <c r="H95" s="4" t="n"/>
      <c r="I95" s="4" t="n"/>
      <c r="J95" s="4" t="n"/>
    </row>
    <row r="96">
      <c r="A96" s="18">
        <f>IF(F96&lt;&gt;"",ROW()-4,"")</f>
        <v/>
      </c>
      <c r="B96" s="15" t="n"/>
      <c r="C96" s="4" t="n"/>
      <c r="D96" s="4" t="n"/>
      <c r="E96" s="4" t="n"/>
      <c r="F96" s="16" t="n"/>
      <c r="G96" s="4" t="n"/>
      <c r="H96" s="4" t="n"/>
      <c r="I96" s="4" t="n"/>
      <c r="J96" s="4" t="n"/>
    </row>
    <row r="97">
      <c r="A97" s="14">
        <f>IF(F97&lt;&gt;"",ROW()-4,"")</f>
        <v/>
      </c>
      <c r="B97" s="15" t="n"/>
      <c r="C97" s="4" t="n"/>
      <c r="D97" s="4" t="n"/>
      <c r="E97" s="4" t="n"/>
      <c r="F97" s="16" t="n"/>
      <c r="G97" s="4" t="n"/>
      <c r="H97" s="4" t="n"/>
      <c r="I97" s="4" t="n"/>
      <c r="J97" s="4" t="n"/>
    </row>
    <row r="98">
      <c r="A98" s="18">
        <f>IF(F98&lt;&gt;"",ROW()-4,"")</f>
        <v/>
      </c>
      <c r="B98" s="15" t="n"/>
      <c r="C98" s="4" t="n"/>
      <c r="D98" s="4" t="n"/>
      <c r="E98" s="4" t="n"/>
      <c r="F98" s="16" t="n"/>
      <c r="G98" s="4" t="n"/>
      <c r="H98" s="4" t="n"/>
      <c r="I98" s="4" t="n"/>
      <c r="J98" s="4" t="n"/>
    </row>
    <row r="99">
      <c r="A99" s="14">
        <f>IF(F99&lt;&gt;"",ROW()-4,"")</f>
        <v/>
      </c>
      <c r="B99" s="15" t="n"/>
      <c r="C99" s="4" t="n"/>
      <c r="D99" s="4" t="n"/>
      <c r="E99" s="4" t="n"/>
      <c r="F99" s="16" t="n"/>
      <c r="G99" s="4" t="n"/>
      <c r="H99" s="4" t="n"/>
      <c r="I99" s="4" t="n"/>
      <c r="J99" s="4" t="n"/>
    </row>
    <row r="100">
      <c r="A100" s="18">
        <f>IF(F100&lt;&gt;"",ROW()-4,"")</f>
        <v/>
      </c>
      <c r="B100" s="15" t="n"/>
      <c r="C100" s="4" t="n"/>
      <c r="D100" s="4" t="n"/>
      <c r="E100" s="4" t="n"/>
      <c r="F100" s="16" t="n"/>
      <c r="G100" s="4" t="n"/>
      <c r="H100" s="4" t="n"/>
      <c r="I100" s="4" t="n"/>
      <c r="J100" s="4" t="n"/>
    </row>
    <row r="101">
      <c r="A101" s="14">
        <f>IF(F101&lt;&gt;"",ROW()-4,"")</f>
        <v/>
      </c>
      <c r="B101" s="15" t="n"/>
      <c r="C101" s="4" t="n"/>
      <c r="D101" s="4" t="n"/>
      <c r="E101" s="4" t="n"/>
      <c r="F101" s="16" t="n"/>
      <c r="G101" s="4" t="n"/>
      <c r="H101" s="4" t="n"/>
      <c r="I101" s="4" t="n"/>
      <c r="J101" s="4" t="n"/>
    </row>
    <row r="102">
      <c r="A102" s="18">
        <f>IF(F102&lt;&gt;"",ROW()-4,"")</f>
        <v/>
      </c>
      <c r="B102" s="15" t="n"/>
      <c r="C102" s="4" t="n"/>
      <c r="D102" s="4" t="n"/>
      <c r="E102" s="4" t="n"/>
      <c r="F102" s="16" t="n"/>
      <c r="G102" s="4" t="n"/>
      <c r="H102" s="4" t="n"/>
      <c r="I102" s="4" t="n"/>
      <c r="J102" s="4" t="n"/>
    </row>
    <row r="103">
      <c r="A103" s="14">
        <f>IF(F103&lt;&gt;"",ROW()-4,"")</f>
        <v/>
      </c>
      <c r="B103" s="15" t="n"/>
      <c r="C103" s="4" t="n"/>
      <c r="D103" s="4" t="n"/>
      <c r="E103" s="4" t="n"/>
      <c r="F103" s="16" t="n"/>
      <c r="G103" s="4" t="n"/>
      <c r="H103" s="4" t="n"/>
      <c r="I103" s="4" t="n"/>
      <c r="J103" s="4" t="n"/>
    </row>
    <row r="104">
      <c r="A104" s="18">
        <f>IF(F104&lt;&gt;"",ROW()-4,"")</f>
        <v/>
      </c>
      <c r="B104" s="15" t="n"/>
      <c r="C104" s="4" t="n"/>
      <c r="D104" s="4" t="n"/>
      <c r="E104" s="4" t="n"/>
      <c r="F104" s="16" t="n"/>
      <c r="G104" s="4" t="n"/>
      <c r="H104" s="4" t="n"/>
      <c r="I104" s="4" t="n"/>
      <c r="J104" s="4" t="n"/>
    </row>
    <row r="105">
      <c r="A105" s="14">
        <f>IF(F105&lt;&gt;"",ROW()-4,"")</f>
        <v/>
      </c>
      <c r="B105" s="15" t="n"/>
      <c r="C105" s="4" t="n"/>
      <c r="D105" s="4" t="n"/>
      <c r="E105" s="4" t="n"/>
      <c r="F105" s="16" t="n"/>
      <c r="G105" s="4" t="n"/>
      <c r="H105" s="4" t="n"/>
      <c r="I105" s="4" t="n"/>
      <c r="J105" s="4" t="n"/>
    </row>
    <row r="106">
      <c r="A106" s="18">
        <f>IF(F106&lt;&gt;"",ROW()-4,"")</f>
        <v/>
      </c>
      <c r="B106" s="15" t="n"/>
      <c r="C106" s="4" t="n"/>
      <c r="D106" s="4" t="n"/>
      <c r="E106" s="4" t="n"/>
      <c r="F106" s="16" t="n"/>
      <c r="G106" s="4" t="n"/>
      <c r="H106" s="4" t="n"/>
      <c r="I106" s="4" t="n"/>
      <c r="J106" s="4" t="n"/>
    </row>
    <row r="107">
      <c r="A107" s="14">
        <f>IF(F107&lt;&gt;"",ROW()-4,"")</f>
        <v/>
      </c>
      <c r="B107" s="15" t="n"/>
      <c r="C107" s="4" t="n"/>
      <c r="D107" s="4" t="n"/>
      <c r="E107" s="4" t="n"/>
      <c r="F107" s="16" t="n"/>
      <c r="G107" s="4" t="n"/>
      <c r="H107" s="4" t="n"/>
      <c r="I107" s="4" t="n"/>
      <c r="J107" s="4" t="n"/>
    </row>
    <row r="108">
      <c r="A108" s="18">
        <f>IF(F108&lt;&gt;"",ROW()-4,"")</f>
        <v/>
      </c>
      <c r="B108" s="15" t="n"/>
      <c r="C108" s="4" t="n"/>
      <c r="D108" s="4" t="n"/>
      <c r="E108" s="4" t="n"/>
      <c r="F108" s="16" t="n"/>
      <c r="G108" s="4" t="n"/>
      <c r="H108" s="4" t="n"/>
      <c r="I108" s="4" t="n"/>
      <c r="J108" s="4" t="n"/>
    </row>
    <row r="109">
      <c r="A109" s="14">
        <f>IF(F109&lt;&gt;"",ROW()-4,"")</f>
        <v/>
      </c>
      <c r="B109" s="15" t="n"/>
      <c r="C109" s="4" t="n"/>
      <c r="D109" s="4" t="n"/>
      <c r="E109" s="4" t="n"/>
      <c r="F109" s="16" t="n"/>
      <c r="G109" s="4" t="n"/>
      <c r="H109" s="4" t="n"/>
      <c r="I109" s="4" t="n"/>
      <c r="J109" s="4" t="n"/>
    </row>
    <row r="110">
      <c r="A110" s="18">
        <f>IF(F110&lt;&gt;"",ROW()-4,"")</f>
        <v/>
      </c>
      <c r="B110" s="15" t="n"/>
      <c r="C110" s="4" t="n"/>
      <c r="D110" s="4" t="n"/>
      <c r="E110" s="4" t="n"/>
      <c r="F110" s="16" t="n"/>
      <c r="G110" s="4" t="n"/>
      <c r="H110" s="4" t="n"/>
      <c r="I110" s="4" t="n"/>
      <c r="J110" s="4" t="n"/>
    </row>
    <row r="111">
      <c r="A111" s="14">
        <f>IF(F111&lt;&gt;"",ROW()-4,"")</f>
        <v/>
      </c>
      <c r="B111" s="15" t="n"/>
      <c r="C111" s="4" t="n"/>
      <c r="D111" s="4" t="n"/>
      <c r="E111" s="4" t="n"/>
      <c r="F111" s="16" t="n"/>
      <c r="G111" s="4" t="n"/>
      <c r="H111" s="4" t="n"/>
      <c r="I111" s="4" t="n"/>
      <c r="J111" s="4" t="n"/>
    </row>
    <row r="112">
      <c r="A112" s="18">
        <f>IF(F112&lt;&gt;"",ROW()-4,"")</f>
        <v/>
      </c>
      <c r="B112" s="15" t="n"/>
      <c r="C112" s="4" t="n"/>
      <c r="D112" s="4" t="n"/>
      <c r="E112" s="4" t="n"/>
      <c r="F112" s="16" t="n"/>
      <c r="G112" s="4" t="n"/>
      <c r="H112" s="4" t="n"/>
      <c r="I112" s="4" t="n"/>
      <c r="J112" s="4" t="n"/>
    </row>
    <row r="113">
      <c r="A113" s="14">
        <f>IF(F113&lt;&gt;"",ROW()-4,"")</f>
        <v/>
      </c>
      <c r="B113" s="15" t="n"/>
      <c r="C113" s="4" t="n"/>
      <c r="D113" s="4" t="n"/>
      <c r="E113" s="4" t="n"/>
      <c r="F113" s="16" t="n"/>
      <c r="G113" s="4" t="n"/>
      <c r="H113" s="4" t="n"/>
      <c r="I113" s="4" t="n"/>
      <c r="J113" s="4" t="n"/>
    </row>
    <row r="114">
      <c r="A114" s="18">
        <f>IF(F114&lt;&gt;"",ROW()-4,"")</f>
        <v/>
      </c>
      <c r="B114" s="15" t="n"/>
      <c r="C114" s="4" t="n"/>
      <c r="D114" s="4" t="n"/>
      <c r="E114" s="4" t="n"/>
      <c r="F114" s="16" t="n"/>
      <c r="G114" s="4" t="n"/>
      <c r="H114" s="4" t="n"/>
      <c r="I114" s="4" t="n"/>
      <c r="J114" s="4" t="n"/>
    </row>
    <row r="115">
      <c r="A115" s="14">
        <f>IF(F115&lt;&gt;"",ROW()-4,"")</f>
        <v/>
      </c>
      <c r="B115" s="15" t="n"/>
      <c r="C115" s="4" t="n"/>
      <c r="D115" s="4" t="n"/>
      <c r="E115" s="4" t="n"/>
      <c r="F115" s="16" t="n"/>
      <c r="G115" s="4" t="n"/>
      <c r="H115" s="4" t="n"/>
      <c r="I115" s="4" t="n"/>
      <c r="J115" s="4" t="n"/>
    </row>
    <row r="116">
      <c r="A116" s="18">
        <f>IF(F116&lt;&gt;"",ROW()-4,"")</f>
        <v/>
      </c>
      <c r="B116" s="15" t="n"/>
      <c r="C116" s="4" t="n"/>
      <c r="D116" s="4" t="n"/>
      <c r="E116" s="4" t="n"/>
      <c r="F116" s="16" t="n"/>
      <c r="G116" s="4" t="n"/>
      <c r="H116" s="4" t="n"/>
      <c r="I116" s="4" t="n"/>
      <c r="J116" s="4" t="n"/>
    </row>
    <row r="117">
      <c r="A117" s="14">
        <f>IF(F117&lt;&gt;"",ROW()-4,"")</f>
        <v/>
      </c>
      <c r="B117" s="15" t="n"/>
      <c r="C117" s="4" t="n"/>
      <c r="D117" s="4" t="n"/>
      <c r="E117" s="4" t="n"/>
      <c r="F117" s="16" t="n"/>
      <c r="G117" s="4" t="n"/>
      <c r="H117" s="4" t="n"/>
      <c r="I117" s="4" t="n"/>
      <c r="J117" s="4" t="n"/>
    </row>
    <row r="118">
      <c r="A118" s="18">
        <f>IF(F118&lt;&gt;"",ROW()-4,"")</f>
        <v/>
      </c>
      <c r="B118" s="15" t="n"/>
      <c r="C118" s="4" t="n"/>
      <c r="D118" s="4" t="n"/>
      <c r="E118" s="4" t="n"/>
      <c r="F118" s="16" t="n"/>
      <c r="G118" s="4" t="n"/>
      <c r="H118" s="4" t="n"/>
      <c r="I118" s="4" t="n"/>
      <c r="J118" s="4" t="n"/>
    </row>
    <row r="119">
      <c r="A119" s="14">
        <f>IF(F119&lt;&gt;"",ROW()-4,"")</f>
        <v/>
      </c>
      <c r="B119" s="15" t="n"/>
      <c r="C119" s="4" t="n"/>
      <c r="D119" s="4" t="n"/>
      <c r="E119" s="4" t="n"/>
      <c r="F119" s="16" t="n"/>
      <c r="G119" s="4" t="n"/>
      <c r="H119" s="4" t="n"/>
      <c r="I119" s="4" t="n"/>
      <c r="J119" s="4" t="n"/>
    </row>
    <row r="120">
      <c r="A120" s="18">
        <f>IF(F120&lt;&gt;"",ROW()-4,"")</f>
        <v/>
      </c>
      <c r="B120" s="15" t="n"/>
      <c r="C120" s="4" t="n"/>
      <c r="D120" s="4" t="n"/>
      <c r="E120" s="4" t="n"/>
      <c r="F120" s="16" t="n"/>
      <c r="G120" s="4" t="n"/>
      <c r="H120" s="4" t="n"/>
      <c r="I120" s="4" t="n"/>
      <c r="J120" s="4" t="n"/>
    </row>
    <row r="121">
      <c r="A121" s="14">
        <f>IF(F121&lt;&gt;"",ROW()-4,"")</f>
        <v/>
      </c>
      <c r="B121" s="15" t="n"/>
      <c r="C121" s="4" t="n"/>
      <c r="D121" s="4" t="n"/>
      <c r="E121" s="4" t="n"/>
      <c r="F121" s="16" t="n"/>
      <c r="G121" s="4" t="n"/>
      <c r="H121" s="4" t="n"/>
      <c r="I121" s="4" t="n"/>
      <c r="J121" s="4" t="n"/>
    </row>
    <row r="122">
      <c r="A122" s="18">
        <f>IF(F122&lt;&gt;"",ROW()-4,"")</f>
        <v/>
      </c>
      <c r="B122" s="15" t="n"/>
      <c r="C122" s="4" t="n"/>
      <c r="D122" s="4" t="n"/>
      <c r="E122" s="4" t="n"/>
      <c r="F122" s="16" t="n"/>
      <c r="G122" s="4" t="n"/>
      <c r="H122" s="4" t="n"/>
      <c r="I122" s="4" t="n"/>
      <c r="J122" s="4" t="n"/>
    </row>
    <row r="123">
      <c r="A123" s="14">
        <f>IF(F123&lt;&gt;"",ROW()-4,"")</f>
        <v/>
      </c>
      <c r="B123" s="15" t="n"/>
      <c r="C123" s="4" t="n"/>
      <c r="D123" s="4" t="n"/>
      <c r="E123" s="4" t="n"/>
      <c r="F123" s="16" t="n"/>
      <c r="G123" s="4" t="n"/>
      <c r="H123" s="4" t="n"/>
      <c r="I123" s="4" t="n"/>
      <c r="J123" s="4" t="n"/>
    </row>
    <row r="124">
      <c r="A124" s="18">
        <f>IF(F124&lt;&gt;"",ROW()-4,"")</f>
        <v/>
      </c>
      <c r="B124" s="15" t="n"/>
      <c r="C124" s="4" t="n"/>
      <c r="D124" s="4" t="n"/>
      <c r="E124" s="4" t="n"/>
      <c r="F124" s="16" t="n"/>
      <c r="G124" s="4" t="n"/>
      <c r="H124" s="4" t="n"/>
      <c r="I124" s="4" t="n"/>
      <c r="J124" s="4" t="n"/>
    </row>
    <row r="125">
      <c r="A125" s="14">
        <f>IF(F125&lt;&gt;"",ROW()-4,"")</f>
        <v/>
      </c>
      <c r="B125" s="15" t="n"/>
      <c r="C125" s="4" t="n"/>
      <c r="D125" s="4" t="n"/>
      <c r="E125" s="4" t="n"/>
      <c r="F125" s="16" t="n"/>
      <c r="G125" s="4" t="n"/>
      <c r="H125" s="4" t="n"/>
      <c r="I125" s="4" t="n"/>
      <c r="J125" s="4" t="n"/>
    </row>
    <row r="126">
      <c r="A126" s="18">
        <f>IF(F126&lt;&gt;"",ROW()-4,"")</f>
        <v/>
      </c>
      <c r="B126" s="15" t="n"/>
      <c r="C126" s="4" t="n"/>
      <c r="D126" s="4" t="n"/>
      <c r="E126" s="4" t="n"/>
      <c r="F126" s="16" t="n"/>
      <c r="G126" s="4" t="n"/>
      <c r="H126" s="4" t="n"/>
      <c r="I126" s="4" t="n"/>
      <c r="J126" s="4" t="n"/>
    </row>
    <row r="127">
      <c r="A127" s="14">
        <f>IF(F127&lt;&gt;"",ROW()-4,"")</f>
        <v/>
      </c>
      <c r="B127" s="15" t="n"/>
      <c r="C127" s="4" t="n"/>
      <c r="D127" s="4" t="n"/>
      <c r="E127" s="4" t="n"/>
      <c r="F127" s="16" t="n"/>
      <c r="G127" s="4" t="n"/>
      <c r="H127" s="4" t="n"/>
      <c r="I127" s="4" t="n"/>
      <c r="J127" s="4" t="n"/>
    </row>
    <row r="128">
      <c r="A128" s="18">
        <f>IF(F128&lt;&gt;"",ROW()-4,"")</f>
        <v/>
      </c>
      <c r="B128" s="15" t="n"/>
      <c r="C128" s="4" t="n"/>
      <c r="D128" s="4" t="n"/>
      <c r="E128" s="4" t="n"/>
      <c r="F128" s="16" t="n"/>
      <c r="G128" s="4" t="n"/>
      <c r="H128" s="4" t="n"/>
      <c r="I128" s="4" t="n"/>
      <c r="J128" s="4" t="n"/>
    </row>
    <row r="129">
      <c r="A129" s="14">
        <f>IF(F129&lt;&gt;"",ROW()-4,"")</f>
        <v/>
      </c>
      <c r="B129" s="15" t="n"/>
      <c r="C129" s="4" t="n"/>
      <c r="D129" s="4" t="n"/>
      <c r="E129" s="4" t="n"/>
      <c r="F129" s="16" t="n"/>
      <c r="G129" s="4" t="n"/>
      <c r="H129" s="4" t="n"/>
      <c r="I129" s="4" t="n"/>
      <c r="J129" s="4" t="n"/>
    </row>
    <row r="130">
      <c r="A130" s="18">
        <f>IF(F130&lt;&gt;"",ROW()-4,"")</f>
        <v/>
      </c>
      <c r="B130" s="15" t="n"/>
      <c r="C130" s="4" t="n"/>
      <c r="D130" s="4" t="n"/>
      <c r="E130" s="4" t="n"/>
      <c r="F130" s="16" t="n"/>
      <c r="G130" s="4" t="n"/>
      <c r="H130" s="4" t="n"/>
      <c r="I130" s="4" t="n"/>
      <c r="J130" s="4" t="n"/>
    </row>
    <row r="131">
      <c r="A131" s="14">
        <f>IF(F131&lt;&gt;"",ROW()-4,"")</f>
        <v/>
      </c>
      <c r="B131" s="15" t="n"/>
      <c r="C131" s="4" t="n"/>
      <c r="D131" s="4" t="n"/>
      <c r="E131" s="4" t="n"/>
      <c r="F131" s="16" t="n"/>
      <c r="G131" s="4" t="n"/>
      <c r="H131" s="4" t="n"/>
      <c r="I131" s="4" t="n"/>
      <c r="J131" s="4" t="n"/>
    </row>
    <row r="132">
      <c r="A132" s="18">
        <f>IF(F132&lt;&gt;"",ROW()-4,"")</f>
        <v/>
      </c>
      <c r="B132" s="15" t="n"/>
      <c r="C132" s="4" t="n"/>
      <c r="D132" s="4" t="n"/>
      <c r="E132" s="4" t="n"/>
      <c r="F132" s="16" t="n"/>
      <c r="G132" s="4" t="n"/>
      <c r="H132" s="4" t="n"/>
      <c r="I132" s="4" t="n"/>
      <c r="J132" s="4" t="n"/>
    </row>
    <row r="133">
      <c r="A133" s="14">
        <f>IF(F133&lt;&gt;"",ROW()-4,"")</f>
        <v/>
      </c>
      <c r="B133" s="15" t="n"/>
      <c r="C133" s="4" t="n"/>
      <c r="D133" s="4" t="n"/>
      <c r="E133" s="4" t="n"/>
      <c r="F133" s="16" t="n"/>
      <c r="G133" s="4" t="n"/>
      <c r="H133" s="4" t="n"/>
      <c r="I133" s="4" t="n"/>
      <c r="J133" s="4" t="n"/>
    </row>
    <row r="134">
      <c r="A134" s="18">
        <f>IF(F134&lt;&gt;"",ROW()-4,"")</f>
        <v/>
      </c>
      <c r="B134" s="15" t="n"/>
      <c r="C134" s="4" t="n"/>
      <c r="D134" s="4" t="n"/>
      <c r="E134" s="4" t="n"/>
      <c r="F134" s="16" t="n"/>
      <c r="G134" s="4" t="n"/>
      <c r="H134" s="4" t="n"/>
      <c r="I134" s="4" t="n"/>
      <c r="J134" s="4" t="n"/>
    </row>
    <row r="135">
      <c r="A135" s="14">
        <f>IF(F135&lt;&gt;"",ROW()-4,"")</f>
        <v/>
      </c>
      <c r="B135" s="15" t="n"/>
      <c r="C135" s="4" t="n"/>
      <c r="D135" s="4" t="n"/>
      <c r="E135" s="4" t="n"/>
      <c r="F135" s="16" t="n"/>
      <c r="G135" s="4" t="n"/>
      <c r="H135" s="4" t="n"/>
      <c r="I135" s="4" t="n"/>
      <c r="J135" s="4" t="n"/>
    </row>
    <row r="136">
      <c r="A136" s="18">
        <f>IF(F136&lt;&gt;"",ROW()-4,"")</f>
        <v/>
      </c>
      <c r="B136" s="15" t="n"/>
      <c r="C136" s="4" t="n"/>
      <c r="D136" s="4" t="n"/>
      <c r="E136" s="4" t="n"/>
      <c r="F136" s="16" t="n"/>
      <c r="G136" s="4" t="n"/>
      <c r="H136" s="4" t="n"/>
      <c r="I136" s="4" t="n"/>
      <c r="J136" s="4" t="n"/>
    </row>
    <row r="137">
      <c r="A137" s="14">
        <f>IF(F137&lt;&gt;"",ROW()-4,"")</f>
        <v/>
      </c>
      <c r="B137" s="15" t="n"/>
      <c r="C137" s="4" t="n"/>
      <c r="D137" s="4" t="n"/>
      <c r="E137" s="4" t="n"/>
      <c r="F137" s="16" t="n"/>
      <c r="G137" s="4" t="n"/>
      <c r="H137" s="4" t="n"/>
      <c r="I137" s="4" t="n"/>
      <c r="J137" s="4" t="n"/>
    </row>
    <row r="138">
      <c r="A138" s="18">
        <f>IF(F138&lt;&gt;"",ROW()-4,"")</f>
        <v/>
      </c>
      <c r="B138" s="15" t="n"/>
      <c r="C138" s="4" t="n"/>
      <c r="D138" s="4" t="n"/>
      <c r="E138" s="4" t="n"/>
      <c r="F138" s="16" t="n"/>
      <c r="G138" s="4" t="n"/>
      <c r="H138" s="4" t="n"/>
      <c r="I138" s="4" t="n"/>
      <c r="J138" s="4" t="n"/>
    </row>
    <row r="139">
      <c r="A139" s="14">
        <f>IF(F139&lt;&gt;"",ROW()-4,"")</f>
        <v/>
      </c>
      <c r="B139" s="15" t="n"/>
      <c r="C139" s="4" t="n"/>
      <c r="D139" s="4" t="n"/>
      <c r="E139" s="4" t="n"/>
      <c r="F139" s="16" t="n"/>
      <c r="G139" s="4" t="n"/>
      <c r="H139" s="4" t="n"/>
      <c r="I139" s="4" t="n"/>
      <c r="J139" s="4" t="n"/>
    </row>
    <row r="140">
      <c r="A140" s="18">
        <f>IF(F140&lt;&gt;"",ROW()-4,"")</f>
        <v/>
      </c>
      <c r="B140" s="15" t="n"/>
      <c r="C140" s="4" t="n"/>
      <c r="D140" s="4" t="n"/>
      <c r="E140" s="4" t="n"/>
      <c r="F140" s="16" t="n"/>
      <c r="G140" s="4" t="n"/>
      <c r="H140" s="4" t="n"/>
      <c r="I140" s="4" t="n"/>
      <c r="J140" s="4" t="n"/>
    </row>
    <row r="141">
      <c r="A141" s="14">
        <f>IF(F141&lt;&gt;"",ROW()-4,"")</f>
        <v/>
      </c>
      <c r="B141" s="15" t="n"/>
      <c r="C141" s="4" t="n"/>
      <c r="D141" s="4" t="n"/>
      <c r="E141" s="4" t="n"/>
      <c r="F141" s="16" t="n"/>
      <c r="G141" s="4" t="n"/>
      <c r="H141" s="4" t="n"/>
      <c r="I141" s="4" t="n"/>
      <c r="J141" s="4" t="n"/>
    </row>
    <row r="142">
      <c r="A142" s="18">
        <f>IF(F142&lt;&gt;"",ROW()-4,"")</f>
        <v/>
      </c>
      <c r="B142" s="15" t="n"/>
      <c r="C142" s="4" t="n"/>
      <c r="D142" s="4" t="n"/>
      <c r="E142" s="4" t="n"/>
      <c r="F142" s="16" t="n"/>
      <c r="G142" s="4" t="n"/>
      <c r="H142" s="4" t="n"/>
      <c r="I142" s="4" t="n"/>
      <c r="J142" s="4" t="n"/>
    </row>
    <row r="143">
      <c r="A143" s="14">
        <f>IF(F143&lt;&gt;"",ROW()-4,"")</f>
        <v/>
      </c>
      <c r="B143" s="15" t="n"/>
      <c r="C143" s="4" t="n"/>
      <c r="D143" s="4" t="n"/>
      <c r="E143" s="4" t="n"/>
      <c r="F143" s="16" t="n"/>
      <c r="G143" s="4" t="n"/>
      <c r="H143" s="4" t="n"/>
      <c r="I143" s="4" t="n"/>
      <c r="J143" s="4" t="n"/>
    </row>
    <row r="144">
      <c r="A144" s="18">
        <f>IF(F144&lt;&gt;"",ROW()-4,"")</f>
        <v/>
      </c>
      <c r="B144" s="15" t="n"/>
      <c r="C144" s="4" t="n"/>
      <c r="D144" s="4" t="n"/>
      <c r="E144" s="4" t="n"/>
      <c r="F144" s="16" t="n"/>
      <c r="G144" s="4" t="n"/>
      <c r="H144" s="4" t="n"/>
      <c r="I144" s="4" t="n"/>
      <c r="J144" s="4" t="n"/>
    </row>
    <row r="145">
      <c r="A145" s="14">
        <f>IF(F145&lt;&gt;"",ROW()-4,"")</f>
        <v/>
      </c>
      <c r="B145" s="15" t="n"/>
      <c r="C145" s="4" t="n"/>
      <c r="D145" s="4" t="n"/>
      <c r="E145" s="4" t="n"/>
      <c r="F145" s="16" t="n"/>
      <c r="G145" s="4" t="n"/>
      <c r="H145" s="4" t="n"/>
      <c r="I145" s="4" t="n"/>
      <c r="J145" s="4" t="n"/>
    </row>
    <row r="146">
      <c r="A146" s="18">
        <f>IF(F146&lt;&gt;"",ROW()-4,"")</f>
        <v/>
      </c>
      <c r="B146" s="15" t="n"/>
      <c r="C146" s="4" t="n"/>
      <c r="D146" s="4" t="n"/>
      <c r="E146" s="4" t="n"/>
      <c r="F146" s="16" t="n"/>
      <c r="G146" s="4" t="n"/>
      <c r="H146" s="4" t="n"/>
      <c r="I146" s="4" t="n"/>
      <c r="J146" s="4" t="n"/>
    </row>
    <row r="147">
      <c r="A147" s="14">
        <f>IF(F147&lt;&gt;"",ROW()-4,"")</f>
        <v/>
      </c>
      <c r="B147" s="15" t="n"/>
      <c r="C147" s="4" t="n"/>
      <c r="D147" s="4" t="n"/>
      <c r="E147" s="4" t="n"/>
      <c r="F147" s="16" t="n"/>
      <c r="G147" s="4" t="n"/>
      <c r="H147" s="4" t="n"/>
      <c r="I147" s="4" t="n"/>
      <c r="J147" s="4" t="n"/>
    </row>
    <row r="148">
      <c r="A148" s="18">
        <f>IF(F148&lt;&gt;"",ROW()-4,"")</f>
        <v/>
      </c>
      <c r="B148" s="15" t="n"/>
      <c r="C148" s="4" t="n"/>
      <c r="D148" s="4" t="n"/>
      <c r="E148" s="4" t="n"/>
      <c r="F148" s="16" t="n"/>
      <c r="G148" s="4" t="n"/>
      <c r="H148" s="4" t="n"/>
      <c r="I148" s="4" t="n"/>
      <c r="J148" s="4" t="n"/>
    </row>
    <row r="149">
      <c r="A149" s="14">
        <f>IF(F149&lt;&gt;"",ROW()-4,"")</f>
        <v/>
      </c>
      <c r="B149" s="15" t="n"/>
      <c r="C149" s="4" t="n"/>
      <c r="D149" s="4" t="n"/>
      <c r="E149" s="4" t="n"/>
      <c r="F149" s="16" t="n"/>
      <c r="G149" s="4" t="n"/>
      <c r="H149" s="4" t="n"/>
      <c r="I149" s="4" t="n"/>
      <c r="J149" s="4" t="n"/>
    </row>
    <row r="150">
      <c r="A150" s="18">
        <f>IF(F150&lt;&gt;"",ROW()-4,"")</f>
        <v/>
      </c>
      <c r="B150" s="15" t="n"/>
      <c r="C150" s="4" t="n"/>
      <c r="D150" s="4" t="n"/>
      <c r="E150" s="4" t="n"/>
      <c r="F150" s="16" t="n"/>
      <c r="G150" s="4" t="n"/>
      <c r="H150" s="4" t="n"/>
      <c r="I150" s="4" t="n"/>
      <c r="J150" s="4" t="n"/>
    </row>
    <row r="151">
      <c r="A151" s="14">
        <f>IF(F151&lt;&gt;"",ROW()-4,"")</f>
        <v/>
      </c>
      <c r="B151" s="15" t="n"/>
      <c r="C151" s="4" t="n"/>
      <c r="D151" s="4" t="n"/>
      <c r="E151" s="4" t="n"/>
      <c r="F151" s="16" t="n"/>
      <c r="G151" s="4" t="n"/>
      <c r="H151" s="4" t="n"/>
      <c r="I151" s="4" t="n"/>
      <c r="J151" s="4" t="n"/>
    </row>
    <row r="152">
      <c r="A152" s="18">
        <f>IF(F152&lt;&gt;"",ROW()-4,"")</f>
        <v/>
      </c>
      <c r="B152" s="15" t="n"/>
      <c r="C152" s="4" t="n"/>
      <c r="D152" s="4" t="n"/>
      <c r="E152" s="4" t="n"/>
      <c r="F152" s="16" t="n"/>
      <c r="G152" s="4" t="n"/>
      <c r="H152" s="4" t="n"/>
      <c r="I152" s="4" t="n"/>
      <c r="J152" s="4" t="n"/>
    </row>
    <row r="153">
      <c r="A153" s="14">
        <f>IF(F153&lt;&gt;"",ROW()-4,"")</f>
        <v/>
      </c>
      <c r="B153" s="15" t="n"/>
      <c r="C153" s="4" t="n"/>
      <c r="D153" s="4" t="n"/>
      <c r="E153" s="4" t="n"/>
      <c r="F153" s="16" t="n"/>
      <c r="G153" s="4" t="n"/>
      <c r="H153" s="4" t="n"/>
      <c r="I153" s="4" t="n"/>
      <c r="J153" s="4" t="n"/>
    </row>
    <row r="154">
      <c r="A154" s="18">
        <f>IF(F154&lt;&gt;"",ROW()-4,"")</f>
        <v/>
      </c>
      <c r="B154" s="15" t="n"/>
      <c r="C154" s="4" t="n"/>
      <c r="D154" s="4" t="n"/>
      <c r="E154" s="4" t="n"/>
      <c r="F154" s="16" t="n"/>
      <c r="G154" s="4" t="n"/>
      <c r="H154" s="4" t="n"/>
      <c r="I154" s="4" t="n"/>
      <c r="J154" s="4" t="n"/>
    </row>
    <row r="155">
      <c r="A155" s="14">
        <f>IF(F155&lt;&gt;"",ROW()-4,"")</f>
        <v/>
      </c>
      <c r="B155" s="15" t="n"/>
      <c r="C155" s="4" t="n"/>
      <c r="D155" s="4" t="n"/>
      <c r="E155" s="4" t="n"/>
      <c r="F155" s="16" t="n"/>
      <c r="G155" s="4" t="n"/>
      <c r="H155" s="4" t="n"/>
      <c r="I155" s="4" t="n"/>
      <c r="J155" s="4" t="n"/>
    </row>
    <row r="156">
      <c r="A156" s="18">
        <f>IF(F156&lt;&gt;"",ROW()-4,"")</f>
        <v/>
      </c>
      <c r="B156" s="15" t="n"/>
      <c r="C156" s="4" t="n"/>
      <c r="D156" s="4" t="n"/>
      <c r="E156" s="4" t="n"/>
      <c r="F156" s="16" t="n"/>
      <c r="G156" s="4" t="n"/>
      <c r="H156" s="4" t="n"/>
      <c r="I156" s="4" t="n"/>
      <c r="J156" s="4" t="n"/>
    </row>
    <row r="157">
      <c r="A157" s="14">
        <f>IF(F157&lt;&gt;"",ROW()-4,"")</f>
        <v/>
      </c>
      <c r="B157" s="15" t="n"/>
      <c r="C157" s="4" t="n"/>
      <c r="D157" s="4" t="n"/>
      <c r="E157" s="4" t="n"/>
      <c r="F157" s="16" t="n"/>
      <c r="G157" s="4" t="n"/>
      <c r="H157" s="4" t="n"/>
      <c r="I157" s="4" t="n"/>
      <c r="J157" s="4" t="n"/>
    </row>
    <row r="158">
      <c r="A158" s="18">
        <f>IF(F158&lt;&gt;"",ROW()-4,"")</f>
        <v/>
      </c>
      <c r="B158" s="15" t="n"/>
      <c r="C158" s="4" t="n"/>
      <c r="D158" s="4" t="n"/>
      <c r="E158" s="4" t="n"/>
      <c r="F158" s="16" t="n"/>
      <c r="G158" s="4" t="n"/>
      <c r="H158" s="4" t="n"/>
      <c r="I158" s="4" t="n"/>
      <c r="J158" s="4" t="n"/>
    </row>
    <row r="159">
      <c r="A159" s="14">
        <f>IF(F159&lt;&gt;"",ROW()-4,"")</f>
        <v/>
      </c>
      <c r="B159" s="15" t="n"/>
      <c r="C159" s="4" t="n"/>
      <c r="D159" s="4" t="n"/>
      <c r="E159" s="4" t="n"/>
      <c r="F159" s="16" t="n"/>
      <c r="G159" s="4" t="n"/>
      <c r="H159" s="4" t="n"/>
      <c r="I159" s="4" t="n"/>
      <c r="J159" s="4" t="n"/>
    </row>
    <row r="160">
      <c r="A160" s="18">
        <f>IF(F160&lt;&gt;"",ROW()-4,"")</f>
        <v/>
      </c>
      <c r="B160" s="15" t="n"/>
      <c r="C160" s="4" t="n"/>
      <c r="D160" s="4" t="n"/>
      <c r="E160" s="4" t="n"/>
      <c r="F160" s="16" t="n"/>
      <c r="G160" s="4" t="n"/>
      <c r="H160" s="4" t="n"/>
      <c r="I160" s="4" t="n"/>
      <c r="J160" s="4" t="n"/>
    </row>
    <row r="161">
      <c r="A161" s="14">
        <f>IF(F161&lt;&gt;"",ROW()-4,"")</f>
        <v/>
      </c>
      <c r="B161" s="15" t="n"/>
      <c r="C161" s="4" t="n"/>
      <c r="D161" s="4" t="n"/>
      <c r="E161" s="4" t="n"/>
      <c r="F161" s="16" t="n"/>
      <c r="G161" s="4" t="n"/>
      <c r="H161" s="4" t="n"/>
      <c r="I161" s="4" t="n"/>
      <c r="J161" s="4" t="n"/>
    </row>
    <row r="162">
      <c r="A162" s="18">
        <f>IF(F162&lt;&gt;"",ROW()-4,"")</f>
        <v/>
      </c>
      <c r="B162" s="15" t="n"/>
      <c r="C162" s="4" t="n"/>
      <c r="D162" s="4" t="n"/>
      <c r="E162" s="4" t="n"/>
      <c r="F162" s="16" t="n"/>
      <c r="G162" s="4" t="n"/>
      <c r="H162" s="4" t="n"/>
      <c r="I162" s="4" t="n"/>
      <c r="J162" s="4" t="n"/>
    </row>
    <row r="163">
      <c r="A163" s="14">
        <f>IF(F163&lt;&gt;"",ROW()-4,"")</f>
        <v/>
      </c>
      <c r="B163" s="15" t="n"/>
      <c r="C163" s="4" t="n"/>
      <c r="D163" s="4" t="n"/>
      <c r="E163" s="4" t="n"/>
      <c r="F163" s="16" t="n"/>
      <c r="G163" s="4" t="n"/>
      <c r="H163" s="4" t="n"/>
      <c r="I163" s="4" t="n"/>
      <c r="J163" s="4" t="n"/>
    </row>
    <row r="164">
      <c r="A164" s="18">
        <f>IF(F164&lt;&gt;"",ROW()-4,"")</f>
        <v/>
      </c>
      <c r="B164" s="15" t="n"/>
      <c r="C164" s="4" t="n"/>
      <c r="D164" s="4" t="n"/>
      <c r="E164" s="4" t="n"/>
      <c r="F164" s="16" t="n"/>
      <c r="G164" s="4" t="n"/>
      <c r="H164" s="4" t="n"/>
      <c r="I164" s="4" t="n"/>
      <c r="J164" s="4" t="n"/>
    </row>
    <row r="165">
      <c r="A165" s="14">
        <f>IF(F165&lt;&gt;"",ROW()-4,"")</f>
        <v/>
      </c>
      <c r="B165" s="15" t="n"/>
      <c r="C165" s="4" t="n"/>
      <c r="D165" s="4" t="n"/>
      <c r="E165" s="4" t="n"/>
      <c r="F165" s="16" t="n"/>
      <c r="G165" s="4" t="n"/>
      <c r="H165" s="4" t="n"/>
      <c r="I165" s="4" t="n"/>
      <c r="J165" s="4" t="n"/>
    </row>
    <row r="166">
      <c r="A166" s="18">
        <f>IF(F166&lt;&gt;"",ROW()-4,"")</f>
        <v/>
      </c>
      <c r="B166" s="15" t="n"/>
      <c r="C166" s="4" t="n"/>
      <c r="D166" s="4" t="n"/>
      <c r="E166" s="4" t="n"/>
      <c r="F166" s="16" t="n"/>
      <c r="G166" s="4" t="n"/>
      <c r="H166" s="4" t="n"/>
      <c r="I166" s="4" t="n"/>
      <c r="J166" s="4" t="n"/>
    </row>
    <row r="167">
      <c r="A167" s="14">
        <f>IF(F167&lt;&gt;"",ROW()-4,"")</f>
        <v/>
      </c>
      <c r="B167" s="15" t="n"/>
      <c r="C167" s="4" t="n"/>
      <c r="D167" s="4" t="n"/>
      <c r="E167" s="4" t="n"/>
      <c r="F167" s="16" t="n"/>
      <c r="G167" s="4" t="n"/>
      <c r="H167" s="4" t="n"/>
      <c r="I167" s="4" t="n"/>
      <c r="J167" s="4" t="n"/>
    </row>
    <row r="168">
      <c r="A168" s="18">
        <f>IF(F168&lt;&gt;"",ROW()-4,"")</f>
        <v/>
      </c>
      <c r="B168" s="15" t="n"/>
      <c r="C168" s="4" t="n"/>
      <c r="D168" s="4" t="n"/>
      <c r="E168" s="4" t="n"/>
      <c r="F168" s="16" t="n"/>
      <c r="G168" s="4" t="n"/>
      <c r="H168" s="4" t="n"/>
      <c r="I168" s="4" t="n"/>
      <c r="J168" s="4" t="n"/>
    </row>
    <row r="169">
      <c r="A169" s="14">
        <f>IF(F169&lt;&gt;"",ROW()-4,"")</f>
        <v/>
      </c>
      <c r="B169" s="15" t="n"/>
      <c r="C169" s="4" t="n"/>
      <c r="D169" s="4" t="n"/>
      <c r="E169" s="4" t="n"/>
      <c r="F169" s="16" t="n"/>
      <c r="G169" s="4" t="n"/>
      <c r="H169" s="4" t="n"/>
      <c r="I169" s="4" t="n"/>
      <c r="J169" s="4" t="n"/>
    </row>
    <row r="170">
      <c r="A170" s="18">
        <f>IF(F170&lt;&gt;"",ROW()-4,"")</f>
        <v/>
      </c>
      <c r="B170" s="15" t="n"/>
      <c r="C170" s="4" t="n"/>
      <c r="D170" s="4" t="n"/>
      <c r="E170" s="4" t="n"/>
      <c r="F170" s="16" t="n"/>
      <c r="G170" s="4" t="n"/>
      <c r="H170" s="4" t="n"/>
      <c r="I170" s="4" t="n"/>
      <c r="J170" s="4" t="n"/>
    </row>
    <row r="171">
      <c r="A171" s="14">
        <f>IF(F171&lt;&gt;"",ROW()-4,"")</f>
        <v/>
      </c>
      <c r="B171" s="15" t="n"/>
      <c r="C171" s="4" t="n"/>
      <c r="D171" s="4" t="n"/>
      <c r="E171" s="4" t="n"/>
      <c r="F171" s="16" t="n"/>
      <c r="G171" s="4" t="n"/>
      <c r="H171" s="4" t="n"/>
      <c r="I171" s="4" t="n"/>
      <c r="J171" s="4" t="n"/>
    </row>
    <row r="172">
      <c r="A172" s="18">
        <f>IF(F172&lt;&gt;"",ROW()-4,"")</f>
        <v/>
      </c>
      <c r="B172" s="15" t="n"/>
      <c r="C172" s="4" t="n"/>
      <c r="D172" s="4" t="n"/>
      <c r="E172" s="4" t="n"/>
      <c r="F172" s="16" t="n"/>
      <c r="G172" s="4" t="n"/>
      <c r="H172" s="4" t="n"/>
      <c r="I172" s="4" t="n"/>
      <c r="J172" s="4" t="n"/>
    </row>
    <row r="173">
      <c r="A173" s="14">
        <f>IF(F173&lt;&gt;"",ROW()-4,"")</f>
        <v/>
      </c>
      <c r="B173" s="15" t="n"/>
      <c r="C173" s="4" t="n"/>
      <c r="D173" s="4" t="n"/>
      <c r="E173" s="4" t="n"/>
      <c r="F173" s="16" t="n"/>
      <c r="G173" s="4" t="n"/>
      <c r="H173" s="4" t="n"/>
      <c r="I173" s="4" t="n"/>
      <c r="J173" s="4" t="n"/>
    </row>
    <row r="174">
      <c r="A174" s="18">
        <f>IF(F174&lt;&gt;"",ROW()-4,"")</f>
        <v/>
      </c>
      <c r="B174" s="15" t="n"/>
      <c r="C174" s="4" t="n"/>
      <c r="D174" s="4" t="n"/>
      <c r="E174" s="4" t="n"/>
      <c r="F174" s="16" t="n"/>
      <c r="G174" s="4" t="n"/>
      <c r="H174" s="4" t="n"/>
      <c r="I174" s="4" t="n"/>
      <c r="J174" s="4" t="n"/>
    </row>
    <row r="175">
      <c r="A175" s="14">
        <f>IF(F175&lt;&gt;"",ROW()-4,"")</f>
        <v/>
      </c>
      <c r="B175" s="15" t="n"/>
      <c r="C175" s="4" t="n"/>
      <c r="D175" s="4" t="n"/>
      <c r="E175" s="4" t="n"/>
      <c r="F175" s="16" t="n"/>
      <c r="G175" s="4" t="n"/>
      <c r="H175" s="4" t="n"/>
      <c r="I175" s="4" t="n"/>
      <c r="J175" s="4" t="n"/>
    </row>
    <row r="176">
      <c r="A176" s="18">
        <f>IF(F176&lt;&gt;"",ROW()-4,"")</f>
        <v/>
      </c>
      <c r="B176" s="15" t="n"/>
      <c r="C176" s="4" t="n"/>
      <c r="D176" s="4" t="n"/>
      <c r="E176" s="4" t="n"/>
      <c r="F176" s="16" t="n"/>
      <c r="G176" s="4" t="n"/>
      <c r="H176" s="4" t="n"/>
      <c r="I176" s="4" t="n"/>
      <c r="J176" s="4" t="n"/>
    </row>
    <row r="177">
      <c r="A177" s="14">
        <f>IF(F177&lt;&gt;"",ROW()-4,"")</f>
        <v/>
      </c>
      <c r="B177" s="15" t="n"/>
      <c r="C177" s="4" t="n"/>
      <c r="D177" s="4" t="n"/>
      <c r="E177" s="4" t="n"/>
      <c r="F177" s="16" t="n"/>
      <c r="G177" s="4" t="n"/>
      <c r="H177" s="4" t="n"/>
      <c r="I177" s="4" t="n"/>
      <c r="J177" s="4" t="n"/>
    </row>
    <row r="178">
      <c r="A178" s="18">
        <f>IF(F178&lt;&gt;"",ROW()-4,"")</f>
        <v/>
      </c>
      <c r="B178" s="15" t="n"/>
      <c r="C178" s="4" t="n"/>
      <c r="D178" s="4" t="n"/>
      <c r="E178" s="4" t="n"/>
      <c r="F178" s="16" t="n"/>
      <c r="G178" s="4" t="n"/>
      <c r="H178" s="4" t="n"/>
      <c r="I178" s="4" t="n"/>
      <c r="J178" s="4" t="n"/>
    </row>
    <row r="179">
      <c r="A179" s="14">
        <f>IF(F179&lt;&gt;"",ROW()-4,"")</f>
        <v/>
      </c>
      <c r="B179" s="15" t="n"/>
      <c r="C179" s="4" t="n"/>
      <c r="D179" s="4" t="n"/>
      <c r="E179" s="4" t="n"/>
      <c r="F179" s="16" t="n"/>
      <c r="G179" s="4" t="n"/>
      <c r="H179" s="4" t="n"/>
      <c r="I179" s="4" t="n"/>
      <c r="J179" s="4" t="n"/>
    </row>
    <row r="180">
      <c r="A180" s="18">
        <f>IF(F180&lt;&gt;"",ROW()-4,"")</f>
        <v/>
      </c>
      <c r="B180" s="15" t="n"/>
      <c r="C180" s="4" t="n"/>
      <c r="D180" s="4" t="n"/>
      <c r="E180" s="4" t="n"/>
      <c r="F180" s="16" t="n"/>
      <c r="G180" s="4" t="n"/>
      <c r="H180" s="4" t="n"/>
      <c r="I180" s="4" t="n"/>
      <c r="J180" s="4" t="n"/>
    </row>
    <row r="181">
      <c r="A181" s="14">
        <f>IF(F181&lt;&gt;"",ROW()-4,"")</f>
        <v/>
      </c>
      <c r="B181" s="15" t="n"/>
      <c r="C181" s="4" t="n"/>
      <c r="D181" s="4" t="n"/>
      <c r="E181" s="4" t="n"/>
      <c r="F181" s="16" t="n"/>
      <c r="G181" s="4" t="n"/>
      <c r="H181" s="4" t="n"/>
      <c r="I181" s="4" t="n"/>
      <c r="J181" s="4" t="n"/>
    </row>
    <row r="182">
      <c r="A182" s="18">
        <f>IF(F182&lt;&gt;"",ROW()-4,"")</f>
        <v/>
      </c>
      <c r="B182" s="15" t="n"/>
      <c r="C182" s="4" t="n"/>
      <c r="D182" s="4" t="n"/>
      <c r="E182" s="4" t="n"/>
      <c r="F182" s="16" t="n"/>
      <c r="G182" s="4" t="n"/>
      <c r="H182" s="4" t="n"/>
      <c r="I182" s="4" t="n"/>
      <c r="J182" s="4" t="n"/>
    </row>
    <row r="183">
      <c r="A183" s="14">
        <f>IF(F183&lt;&gt;"",ROW()-4,"")</f>
        <v/>
      </c>
      <c r="B183" s="15" t="n"/>
      <c r="C183" s="4" t="n"/>
      <c r="D183" s="4" t="n"/>
      <c r="E183" s="4" t="n"/>
      <c r="F183" s="16" t="n"/>
      <c r="G183" s="4" t="n"/>
      <c r="H183" s="4" t="n"/>
      <c r="I183" s="4" t="n"/>
      <c r="J183" s="4" t="n"/>
    </row>
    <row r="184">
      <c r="A184" s="18">
        <f>IF(F184&lt;&gt;"",ROW()-4,"")</f>
        <v/>
      </c>
      <c r="B184" s="15" t="n"/>
      <c r="C184" s="4" t="n"/>
      <c r="D184" s="4" t="n"/>
      <c r="E184" s="4" t="n"/>
      <c r="F184" s="16" t="n"/>
      <c r="G184" s="4" t="n"/>
      <c r="H184" s="4" t="n"/>
      <c r="I184" s="4" t="n"/>
      <c r="J184" s="4" t="n"/>
    </row>
    <row r="185">
      <c r="A185" s="14">
        <f>IF(F185&lt;&gt;"",ROW()-4,"")</f>
        <v/>
      </c>
      <c r="B185" s="15" t="n"/>
      <c r="C185" s="4" t="n"/>
      <c r="D185" s="4" t="n"/>
      <c r="E185" s="4" t="n"/>
      <c r="F185" s="16" t="n"/>
      <c r="G185" s="4" t="n"/>
      <c r="H185" s="4" t="n"/>
      <c r="I185" s="4" t="n"/>
      <c r="J185" s="4" t="n"/>
    </row>
    <row r="186">
      <c r="A186" s="18">
        <f>IF(F186&lt;&gt;"",ROW()-4,"")</f>
        <v/>
      </c>
      <c r="B186" s="15" t="n"/>
      <c r="C186" s="4" t="n"/>
      <c r="D186" s="4" t="n"/>
      <c r="E186" s="4" t="n"/>
      <c r="F186" s="16" t="n"/>
      <c r="G186" s="4" t="n"/>
      <c r="H186" s="4" t="n"/>
      <c r="I186" s="4" t="n"/>
      <c r="J186" s="4" t="n"/>
    </row>
    <row r="187">
      <c r="A187" s="14">
        <f>IF(F187&lt;&gt;"",ROW()-4,"")</f>
        <v/>
      </c>
      <c r="B187" s="15" t="n"/>
      <c r="C187" s="4" t="n"/>
      <c r="D187" s="4" t="n"/>
      <c r="E187" s="4" t="n"/>
      <c r="F187" s="16" t="n"/>
      <c r="G187" s="4" t="n"/>
      <c r="H187" s="4" t="n"/>
      <c r="I187" s="4" t="n"/>
      <c r="J187" s="4" t="n"/>
    </row>
    <row r="188">
      <c r="A188" s="18">
        <f>IF(F188&lt;&gt;"",ROW()-4,"")</f>
        <v/>
      </c>
      <c r="B188" s="15" t="n"/>
      <c r="C188" s="4" t="n"/>
      <c r="D188" s="4" t="n"/>
      <c r="E188" s="4" t="n"/>
      <c r="F188" s="16" t="n"/>
      <c r="G188" s="4" t="n"/>
      <c r="H188" s="4" t="n"/>
      <c r="I188" s="4" t="n"/>
      <c r="J188" s="4" t="n"/>
    </row>
    <row r="189">
      <c r="A189" s="14">
        <f>IF(F189&lt;&gt;"",ROW()-4,"")</f>
        <v/>
      </c>
      <c r="B189" s="15" t="n"/>
      <c r="C189" s="4" t="n"/>
      <c r="D189" s="4" t="n"/>
      <c r="E189" s="4" t="n"/>
      <c r="F189" s="16" t="n"/>
      <c r="G189" s="4" t="n"/>
      <c r="H189" s="4" t="n"/>
      <c r="I189" s="4" t="n"/>
      <c r="J189" s="4" t="n"/>
    </row>
    <row r="190">
      <c r="A190" s="18">
        <f>IF(F190&lt;&gt;"",ROW()-4,"")</f>
        <v/>
      </c>
      <c r="B190" s="15" t="n"/>
      <c r="C190" s="4" t="n"/>
      <c r="D190" s="4" t="n"/>
      <c r="E190" s="4" t="n"/>
      <c r="F190" s="16" t="n"/>
      <c r="G190" s="4" t="n"/>
      <c r="H190" s="4" t="n"/>
      <c r="I190" s="4" t="n"/>
      <c r="J190" s="4" t="n"/>
    </row>
    <row r="191">
      <c r="A191" s="14">
        <f>IF(F191&lt;&gt;"",ROW()-4,"")</f>
        <v/>
      </c>
      <c r="B191" s="15" t="n"/>
      <c r="C191" s="4" t="n"/>
      <c r="D191" s="4" t="n"/>
      <c r="E191" s="4" t="n"/>
      <c r="F191" s="16" t="n"/>
      <c r="G191" s="4" t="n"/>
      <c r="H191" s="4" t="n"/>
      <c r="I191" s="4" t="n"/>
      <c r="J191" s="4" t="n"/>
    </row>
    <row r="192">
      <c r="A192" s="18">
        <f>IF(F192&lt;&gt;"",ROW()-4,"")</f>
        <v/>
      </c>
      <c r="B192" s="15" t="n"/>
      <c r="C192" s="4" t="n"/>
      <c r="D192" s="4" t="n"/>
      <c r="E192" s="4" t="n"/>
      <c r="F192" s="16" t="n"/>
      <c r="G192" s="4" t="n"/>
      <c r="H192" s="4" t="n"/>
      <c r="I192" s="4" t="n"/>
      <c r="J192" s="4" t="n"/>
    </row>
    <row r="193">
      <c r="A193" s="14">
        <f>IF(F193&lt;&gt;"",ROW()-4,"")</f>
        <v/>
      </c>
      <c r="B193" s="15" t="n"/>
      <c r="C193" s="4" t="n"/>
      <c r="D193" s="4" t="n"/>
      <c r="E193" s="4" t="n"/>
      <c r="F193" s="16" t="n"/>
      <c r="G193" s="4" t="n"/>
      <c r="H193" s="4" t="n"/>
      <c r="I193" s="4" t="n"/>
      <c r="J193" s="4" t="n"/>
    </row>
    <row r="194">
      <c r="A194" s="18">
        <f>IF(F194&lt;&gt;"",ROW()-4,"")</f>
        <v/>
      </c>
      <c r="B194" s="15" t="n"/>
      <c r="C194" s="4" t="n"/>
      <c r="D194" s="4" t="n"/>
      <c r="E194" s="4" t="n"/>
      <c r="F194" s="16" t="n"/>
      <c r="G194" s="4" t="n"/>
      <c r="H194" s="4" t="n"/>
      <c r="I194" s="4" t="n"/>
      <c r="J194" s="4" t="n"/>
    </row>
    <row r="195">
      <c r="A195" s="14">
        <f>IF(F195&lt;&gt;"",ROW()-4,"")</f>
        <v/>
      </c>
      <c r="B195" s="15" t="n"/>
      <c r="C195" s="4" t="n"/>
      <c r="D195" s="4" t="n"/>
      <c r="E195" s="4" t="n"/>
      <c r="F195" s="16" t="n"/>
      <c r="G195" s="4" t="n"/>
      <c r="H195" s="4" t="n"/>
      <c r="I195" s="4" t="n"/>
      <c r="J195" s="4" t="n"/>
    </row>
    <row r="196">
      <c r="A196" s="18">
        <f>IF(F196&lt;&gt;"",ROW()-4,"")</f>
        <v/>
      </c>
      <c r="B196" s="15" t="n"/>
      <c r="C196" s="4" t="n"/>
      <c r="D196" s="4" t="n"/>
      <c r="E196" s="4" t="n"/>
      <c r="F196" s="16" t="n"/>
      <c r="G196" s="4" t="n"/>
      <c r="H196" s="4" t="n"/>
      <c r="I196" s="4" t="n"/>
      <c r="J196" s="4" t="n"/>
    </row>
    <row r="197">
      <c r="A197" s="14">
        <f>IF(F197&lt;&gt;"",ROW()-4,"")</f>
        <v/>
      </c>
      <c r="B197" s="15" t="n"/>
      <c r="C197" s="4" t="n"/>
      <c r="D197" s="4" t="n"/>
      <c r="E197" s="4" t="n"/>
      <c r="F197" s="16" t="n"/>
      <c r="G197" s="4" t="n"/>
      <c r="H197" s="4" t="n"/>
      <c r="I197" s="4" t="n"/>
      <c r="J197" s="4" t="n"/>
    </row>
    <row r="198">
      <c r="A198" s="18">
        <f>IF(F198&lt;&gt;"",ROW()-4,"")</f>
        <v/>
      </c>
      <c r="B198" s="15" t="n"/>
      <c r="C198" s="4" t="n"/>
      <c r="D198" s="4" t="n"/>
      <c r="E198" s="4" t="n"/>
      <c r="F198" s="16" t="n"/>
      <c r="G198" s="4" t="n"/>
      <c r="H198" s="4" t="n"/>
      <c r="I198" s="4" t="n"/>
      <c r="J198" s="4" t="n"/>
    </row>
    <row r="199">
      <c r="A199" s="14">
        <f>IF(F199&lt;&gt;"",ROW()-4,"")</f>
        <v/>
      </c>
      <c r="B199" s="15" t="n"/>
      <c r="C199" s="4" t="n"/>
      <c r="D199" s="4" t="n"/>
      <c r="E199" s="4" t="n"/>
      <c r="F199" s="16" t="n"/>
      <c r="G199" s="4" t="n"/>
      <c r="H199" s="4" t="n"/>
      <c r="I199" s="4" t="n"/>
      <c r="J199" s="4" t="n"/>
    </row>
    <row r="200">
      <c r="A200" s="18">
        <f>IF(F200&lt;&gt;"",ROW()-4,"")</f>
        <v/>
      </c>
      <c r="B200" s="15" t="n"/>
      <c r="C200" s="4" t="n"/>
      <c r="D200" s="4" t="n"/>
      <c r="E200" s="4" t="n"/>
      <c r="F200" s="16" t="n"/>
      <c r="G200" s="4" t="n"/>
      <c r="H200" s="4" t="n"/>
      <c r="I200" s="4" t="n"/>
      <c r="J200" s="4" t="n"/>
    </row>
    <row r="201">
      <c r="A201" s="14">
        <f>IF(F201&lt;&gt;"",ROW()-4,"")</f>
        <v/>
      </c>
      <c r="B201" s="15" t="n"/>
      <c r="C201" s="4" t="n"/>
      <c r="D201" s="4" t="n"/>
      <c r="E201" s="4" t="n"/>
      <c r="F201" s="16" t="n"/>
      <c r="G201" s="4" t="n"/>
      <c r="H201" s="4" t="n"/>
      <c r="I201" s="4" t="n"/>
      <c r="J201" s="4" t="n"/>
    </row>
    <row r="202">
      <c r="A202" s="18">
        <f>IF(F202&lt;&gt;"",ROW()-4,"")</f>
        <v/>
      </c>
      <c r="B202" s="15" t="n"/>
      <c r="C202" s="4" t="n"/>
      <c r="D202" s="4" t="n"/>
      <c r="E202" s="4" t="n"/>
      <c r="F202" s="16" t="n"/>
      <c r="G202" s="4" t="n"/>
      <c r="H202" s="4" t="n"/>
      <c r="I202" s="4" t="n"/>
      <c r="J202" s="4" t="n"/>
    </row>
    <row r="203">
      <c r="A203" s="14">
        <f>IF(F203&lt;&gt;"",ROW()-4,"")</f>
        <v/>
      </c>
      <c r="B203" s="15" t="n"/>
      <c r="C203" s="4" t="n"/>
      <c r="D203" s="4" t="n"/>
      <c r="E203" s="4" t="n"/>
      <c r="F203" s="16" t="n"/>
      <c r="G203" s="4" t="n"/>
      <c r="H203" s="4" t="n"/>
      <c r="I203" s="4" t="n"/>
      <c r="J203" s="4" t="n"/>
    </row>
    <row r="204">
      <c r="A204" s="18">
        <f>IF(F204&lt;&gt;"",ROW()-4,"")</f>
        <v/>
      </c>
      <c r="B204" s="15" t="n"/>
      <c r="C204" s="4" t="n"/>
      <c r="D204" s="4" t="n"/>
      <c r="E204" s="4" t="n"/>
      <c r="F204" s="16" t="n"/>
      <c r="G204" s="4" t="n"/>
      <c r="H204" s="4" t="n"/>
      <c r="I204" s="4" t="n"/>
      <c r="J204" s="4" t="n"/>
    </row>
    <row r="205">
      <c r="A205" s="14">
        <f>IF(F205&lt;&gt;"",ROW()-4,"")</f>
        <v/>
      </c>
      <c r="B205" s="15" t="n"/>
      <c r="C205" s="4" t="n"/>
      <c r="D205" s="4" t="n"/>
      <c r="E205" s="4" t="n"/>
      <c r="F205" s="16" t="n"/>
      <c r="G205" s="4" t="n"/>
      <c r="H205" s="4" t="n"/>
      <c r="I205" s="4" t="n"/>
      <c r="J205" s="4" t="n"/>
    </row>
    <row r="206">
      <c r="A206" s="18">
        <f>IF(F206&lt;&gt;"",ROW()-4,"")</f>
        <v/>
      </c>
      <c r="B206" s="15" t="n"/>
      <c r="C206" s="4" t="n"/>
      <c r="D206" s="4" t="n"/>
      <c r="E206" s="4" t="n"/>
      <c r="F206" s="16" t="n"/>
      <c r="G206" s="4" t="n"/>
      <c r="H206" s="4" t="n"/>
      <c r="I206" s="4" t="n"/>
      <c r="J206" s="4" t="n"/>
    </row>
    <row r="207">
      <c r="A207" s="14">
        <f>IF(F207&lt;&gt;"",ROW()-4,"")</f>
        <v/>
      </c>
      <c r="B207" s="15" t="n"/>
      <c r="C207" s="4" t="n"/>
      <c r="D207" s="4" t="n"/>
      <c r="E207" s="4" t="n"/>
      <c r="F207" s="16" t="n"/>
      <c r="G207" s="4" t="n"/>
      <c r="H207" s="4" t="n"/>
      <c r="I207" s="4" t="n"/>
      <c r="J207" s="4" t="n"/>
    </row>
    <row r="208">
      <c r="A208" s="18">
        <f>IF(F208&lt;&gt;"",ROW()-4,"")</f>
        <v/>
      </c>
      <c r="B208" s="15" t="n"/>
      <c r="C208" s="4" t="n"/>
      <c r="D208" s="4" t="n"/>
      <c r="E208" s="4" t="n"/>
      <c r="F208" s="16" t="n"/>
      <c r="G208" s="4" t="n"/>
      <c r="H208" s="4" t="n"/>
      <c r="I208" s="4" t="n"/>
      <c r="J208" s="4" t="n"/>
    </row>
    <row r="209">
      <c r="A209" s="14">
        <f>IF(F209&lt;&gt;"",ROW()-4,"")</f>
        <v/>
      </c>
      <c r="B209" s="15" t="n"/>
      <c r="C209" s="4" t="n"/>
      <c r="D209" s="4" t="n"/>
      <c r="E209" s="4" t="n"/>
      <c r="F209" s="16" t="n"/>
      <c r="G209" s="4" t="n"/>
      <c r="H209" s="4" t="n"/>
      <c r="I209" s="4" t="n"/>
      <c r="J209" s="4" t="n"/>
    </row>
    <row r="210">
      <c r="A210" s="18">
        <f>IF(F210&lt;&gt;"",ROW()-4,"")</f>
        <v/>
      </c>
      <c r="B210" s="15" t="n"/>
      <c r="C210" s="4" t="n"/>
      <c r="D210" s="4" t="n"/>
      <c r="E210" s="4" t="n"/>
      <c r="F210" s="16" t="n"/>
      <c r="G210" s="4" t="n"/>
      <c r="H210" s="4" t="n"/>
      <c r="I210" s="4" t="n"/>
      <c r="J210" s="4" t="n"/>
    </row>
    <row r="211">
      <c r="A211" s="14">
        <f>IF(F211&lt;&gt;"",ROW()-4,"")</f>
        <v/>
      </c>
      <c r="B211" s="15" t="n"/>
      <c r="C211" s="4" t="n"/>
      <c r="D211" s="4" t="n"/>
      <c r="E211" s="4" t="n"/>
      <c r="F211" s="16" t="n"/>
      <c r="G211" s="4" t="n"/>
      <c r="H211" s="4" t="n"/>
      <c r="I211" s="4" t="n"/>
      <c r="J211" s="4" t="n"/>
    </row>
    <row r="212">
      <c r="A212" s="18">
        <f>IF(F212&lt;&gt;"",ROW()-4,"")</f>
        <v/>
      </c>
      <c r="B212" s="15" t="n"/>
      <c r="C212" s="4" t="n"/>
      <c r="D212" s="4" t="n"/>
      <c r="E212" s="4" t="n"/>
      <c r="F212" s="16" t="n"/>
      <c r="G212" s="4" t="n"/>
      <c r="H212" s="4" t="n"/>
      <c r="I212" s="4" t="n"/>
      <c r="J212" s="4" t="n"/>
    </row>
    <row r="213">
      <c r="A213" s="14">
        <f>IF(F213&lt;&gt;"",ROW()-4,"")</f>
        <v/>
      </c>
      <c r="B213" s="15" t="n"/>
      <c r="C213" s="4" t="n"/>
      <c r="D213" s="4" t="n"/>
      <c r="E213" s="4" t="n"/>
      <c r="F213" s="16" t="n"/>
      <c r="G213" s="4" t="n"/>
      <c r="H213" s="4" t="n"/>
      <c r="I213" s="4" t="n"/>
      <c r="J213" s="4" t="n"/>
    </row>
    <row r="214">
      <c r="A214" s="18">
        <f>IF(F214&lt;&gt;"",ROW()-4,"")</f>
        <v/>
      </c>
      <c r="B214" s="15" t="n"/>
      <c r="C214" s="4" t="n"/>
      <c r="D214" s="4" t="n"/>
      <c r="E214" s="4" t="n"/>
      <c r="F214" s="16" t="n"/>
      <c r="G214" s="4" t="n"/>
      <c r="H214" s="4" t="n"/>
      <c r="I214" s="4" t="n"/>
      <c r="J214" s="4" t="n"/>
    </row>
    <row r="215">
      <c r="A215" s="14">
        <f>IF(F215&lt;&gt;"",ROW()-4,"")</f>
        <v/>
      </c>
      <c r="B215" s="15" t="n"/>
      <c r="C215" s="4" t="n"/>
      <c r="D215" s="4" t="n"/>
      <c r="E215" s="4" t="n"/>
      <c r="F215" s="16" t="n"/>
      <c r="G215" s="4" t="n"/>
      <c r="H215" s="4" t="n"/>
      <c r="I215" s="4" t="n"/>
      <c r="J215" s="4" t="n"/>
    </row>
    <row r="216">
      <c r="A216" s="18">
        <f>IF(F216&lt;&gt;"",ROW()-4,"")</f>
        <v/>
      </c>
      <c r="B216" s="15" t="n"/>
      <c r="C216" s="4" t="n"/>
      <c r="D216" s="4" t="n"/>
      <c r="E216" s="4" t="n"/>
      <c r="F216" s="16" t="n"/>
      <c r="G216" s="4" t="n"/>
      <c r="H216" s="4" t="n"/>
      <c r="I216" s="4" t="n"/>
      <c r="J216" s="4" t="n"/>
    </row>
    <row r="217">
      <c r="A217" s="14">
        <f>IF(F217&lt;&gt;"",ROW()-4,"")</f>
        <v/>
      </c>
      <c r="B217" s="15" t="n"/>
      <c r="C217" s="4" t="n"/>
      <c r="D217" s="4" t="n"/>
      <c r="E217" s="4" t="n"/>
      <c r="F217" s="16" t="n"/>
      <c r="G217" s="4" t="n"/>
      <c r="H217" s="4" t="n"/>
      <c r="I217" s="4" t="n"/>
      <c r="J217" s="4" t="n"/>
    </row>
    <row r="218">
      <c r="A218" s="18">
        <f>IF(F218&lt;&gt;"",ROW()-4,"")</f>
        <v/>
      </c>
      <c r="B218" s="15" t="n"/>
      <c r="C218" s="4" t="n"/>
      <c r="D218" s="4" t="n"/>
      <c r="E218" s="4" t="n"/>
      <c r="F218" s="16" t="n"/>
      <c r="G218" s="4" t="n"/>
      <c r="H218" s="4" t="n"/>
      <c r="I218" s="4" t="n"/>
      <c r="J218" s="4" t="n"/>
    </row>
    <row r="219">
      <c r="A219" s="14">
        <f>IF(F219&lt;&gt;"",ROW()-4,"")</f>
        <v/>
      </c>
      <c r="B219" s="15" t="n"/>
      <c r="C219" s="4" t="n"/>
      <c r="D219" s="4" t="n"/>
      <c r="E219" s="4" t="n"/>
      <c r="F219" s="16" t="n"/>
      <c r="G219" s="4" t="n"/>
      <c r="H219" s="4" t="n"/>
      <c r="I219" s="4" t="n"/>
      <c r="J219" s="4" t="n"/>
    </row>
    <row r="220">
      <c r="A220" s="18">
        <f>IF(F220&lt;&gt;"",ROW()-4,"")</f>
        <v/>
      </c>
      <c r="B220" s="15" t="n"/>
      <c r="C220" s="4" t="n"/>
      <c r="D220" s="4" t="n"/>
      <c r="E220" s="4" t="n"/>
      <c r="F220" s="16" t="n"/>
      <c r="G220" s="4" t="n"/>
      <c r="H220" s="4" t="n"/>
      <c r="I220" s="4" t="n"/>
      <c r="J220" s="4" t="n"/>
    </row>
    <row r="221">
      <c r="A221" s="14">
        <f>IF(F221&lt;&gt;"",ROW()-4,"")</f>
        <v/>
      </c>
      <c r="B221" s="15" t="n"/>
      <c r="C221" s="4" t="n"/>
      <c r="D221" s="4" t="n"/>
      <c r="E221" s="4" t="n"/>
      <c r="F221" s="16" t="n"/>
      <c r="G221" s="4" t="n"/>
      <c r="H221" s="4" t="n"/>
      <c r="I221" s="4" t="n"/>
      <c r="J221" s="4" t="n"/>
    </row>
    <row r="222">
      <c r="A222" s="18">
        <f>IF(F222&lt;&gt;"",ROW()-4,"")</f>
        <v/>
      </c>
      <c r="B222" s="15" t="n"/>
      <c r="C222" s="4" t="n"/>
      <c r="D222" s="4" t="n"/>
      <c r="E222" s="4" t="n"/>
      <c r="F222" s="16" t="n"/>
      <c r="G222" s="4" t="n"/>
      <c r="H222" s="4" t="n"/>
      <c r="I222" s="4" t="n"/>
      <c r="J222" s="4" t="n"/>
    </row>
    <row r="223">
      <c r="A223" s="14">
        <f>IF(F223&lt;&gt;"",ROW()-4,"")</f>
        <v/>
      </c>
      <c r="B223" s="15" t="n"/>
      <c r="C223" s="4" t="n"/>
      <c r="D223" s="4" t="n"/>
      <c r="E223" s="4" t="n"/>
      <c r="F223" s="16" t="n"/>
      <c r="G223" s="4" t="n"/>
      <c r="H223" s="4" t="n"/>
      <c r="I223" s="4" t="n"/>
      <c r="J223" s="4" t="n"/>
    </row>
    <row r="224">
      <c r="A224" s="18">
        <f>IF(F224&lt;&gt;"",ROW()-4,"")</f>
        <v/>
      </c>
      <c r="B224" s="15" t="n"/>
      <c r="C224" s="4" t="n"/>
      <c r="D224" s="4" t="n"/>
      <c r="E224" s="4" t="n"/>
      <c r="F224" s="16" t="n"/>
      <c r="G224" s="4" t="n"/>
      <c r="H224" s="4" t="n"/>
      <c r="I224" s="4" t="n"/>
      <c r="J224" s="4" t="n"/>
    </row>
    <row r="225">
      <c r="A225" s="14">
        <f>IF(F225&lt;&gt;"",ROW()-4,"")</f>
        <v/>
      </c>
      <c r="B225" s="15" t="n"/>
      <c r="C225" s="4" t="n"/>
      <c r="D225" s="4" t="n"/>
      <c r="E225" s="4" t="n"/>
      <c r="F225" s="16" t="n"/>
      <c r="G225" s="4" t="n"/>
      <c r="H225" s="4" t="n"/>
      <c r="I225" s="4" t="n"/>
      <c r="J225" s="4" t="n"/>
    </row>
    <row r="226">
      <c r="A226" s="18">
        <f>IF(F226&lt;&gt;"",ROW()-4,"")</f>
        <v/>
      </c>
      <c r="B226" s="15" t="n"/>
      <c r="C226" s="4" t="n"/>
      <c r="D226" s="4" t="n"/>
      <c r="E226" s="4" t="n"/>
      <c r="F226" s="16" t="n"/>
      <c r="G226" s="4" t="n"/>
      <c r="H226" s="4" t="n"/>
      <c r="I226" s="4" t="n"/>
      <c r="J226" s="4" t="n"/>
    </row>
    <row r="227">
      <c r="A227" s="14">
        <f>IF(F227&lt;&gt;"",ROW()-4,"")</f>
        <v/>
      </c>
      <c r="B227" s="15" t="n"/>
      <c r="C227" s="4" t="n"/>
      <c r="D227" s="4" t="n"/>
      <c r="E227" s="4" t="n"/>
      <c r="F227" s="16" t="n"/>
      <c r="G227" s="4" t="n"/>
      <c r="H227" s="4" t="n"/>
      <c r="I227" s="4" t="n"/>
      <c r="J227" s="4" t="n"/>
    </row>
    <row r="228">
      <c r="A228" s="18">
        <f>IF(F228&lt;&gt;"",ROW()-4,"")</f>
        <v/>
      </c>
      <c r="B228" s="15" t="n"/>
      <c r="C228" s="4" t="n"/>
      <c r="D228" s="4" t="n"/>
      <c r="E228" s="4" t="n"/>
      <c r="F228" s="16" t="n"/>
      <c r="G228" s="4" t="n"/>
      <c r="H228" s="4" t="n"/>
      <c r="I228" s="4" t="n"/>
      <c r="J228" s="4" t="n"/>
    </row>
    <row r="229">
      <c r="A229" s="14">
        <f>IF(F229&lt;&gt;"",ROW()-4,"")</f>
        <v/>
      </c>
      <c r="B229" s="15" t="n"/>
      <c r="C229" s="4" t="n"/>
      <c r="D229" s="4" t="n"/>
      <c r="E229" s="4" t="n"/>
      <c r="F229" s="16" t="n"/>
      <c r="G229" s="4" t="n"/>
      <c r="H229" s="4" t="n"/>
      <c r="I229" s="4" t="n"/>
      <c r="J229" s="4" t="n"/>
    </row>
    <row r="230">
      <c r="A230" s="18">
        <f>IF(F230&lt;&gt;"",ROW()-4,"")</f>
        <v/>
      </c>
      <c r="B230" s="15" t="n"/>
      <c r="C230" s="4" t="n"/>
      <c r="D230" s="4" t="n"/>
      <c r="E230" s="4" t="n"/>
      <c r="F230" s="16" t="n"/>
      <c r="G230" s="4" t="n"/>
      <c r="H230" s="4" t="n"/>
      <c r="I230" s="4" t="n"/>
      <c r="J230" s="4" t="n"/>
    </row>
    <row r="231">
      <c r="A231" s="14">
        <f>IF(F231&lt;&gt;"",ROW()-4,"")</f>
        <v/>
      </c>
      <c r="B231" s="15" t="n"/>
      <c r="C231" s="4" t="n"/>
      <c r="D231" s="4" t="n"/>
      <c r="E231" s="4" t="n"/>
      <c r="F231" s="16" t="n"/>
      <c r="G231" s="4" t="n"/>
      <c r="H231" s="4" t="n"/>
      <c r="I231" s="4" t="n"/>
      <c r="J231" s="4" t="n"/>
    </row>
    <row r="232">
      <c r="A232" s="18">
        <f>IF(F232&lt;&gt;"",ROW()-4,"")</f>
        <v/>
      </c>
      <c r="B232" s="15" t="n"/>
      <c r="C232" s="4" t="n"/>
      <c r="D232" s="4" t="n"/>
      <c r="E232" s="4" t="n"/>
      <c r="F232" s="16" t="n"/>
      <c r="G232" s="4" t="n"/>
      <c r="H232" s="4" t="n"/>
      <c r="I232" s="4" t="n"/>
      <c r="J232" s="4" t="n"/>
    </row>
    <row r="233">
      <c r="A233" s="14">
        <f>IF(F233&lt;&gt;"",ROW()-4,"")</f>
        <v/>
      </c>
      <c r="B233" s="15" t="n"/>
      <c r="C233" s="4" t="n"/>
      <c r="D233" s="4" t="n"/>
      <c r="E233" s="4" t="n"/>
      <c r="F233" s="16" t="n"/>
      <c r="G233" s="4" t="n"/>
      <c r="H233" s="4" t="n"/>
      <c r="I233" s="4" t="n"/>
      <c r="J233" s="4" t="n"/>
    </row>
    <row r="234">
      <c r="A234" s="18">
        <f>IF(F234&lt;&gt;"",ROW()-4,"")</f>
        <v/>
      </c>
      <c r="B234" s="15" t="n"/>
      <c r="C234" s="4" t="n"/>
      <c r="D234" s="4" t="n"/>
      <c r="E234" s="4" t="n"/>
      <c r="F234" s="16" t="n"/>
      <c r="G234" s="4" t="n"/>
      <c r="H234" s="4" t="n"/>
      <c r="I234" s="4" t="n"/>
      <c r="J234" s="4" t="n"/>
    </row>
    <row r="235">
      <c r="A235" s="14">
        <f>IF(F235&lt;&gt;"",ROW()-4,"")</f>
        <v/>
      </c>
      <c r="B235" s="15" t="n"/>
      <c r="C235" s="4" t="n"/>
      <c r="D235" s="4" t="n"/>
      <c r="E235" s="4" t="n"/>
      <c r="F235" s="16" t="n"/>
      <c r="G235" s="4" t="n"/>
      <c r="H235" s="4" t="n"/>
      <c r="I235" s="4" t="n"/>
      <c r="J235" s="4" t="n"/>
    </row>
    <row r="236">
      <c r="A236" s="18">
        <f>IF(F236&lt;&gt;"",ROW()-4,"")</f>
        <v/>
      </c>
      <c r="B236" s="15" t="n"/>
      <c r="C236" s="4" t="n"/>
      <c r="D236" s="4" t="n"/>
      <c r="E236" s="4" t="n"/>
      <c r="F236" s="16" t="n"/>
      <c r="G236" s="4" t="n"/>
      <c r="H236" s="4" t="n"/>
      <c r="I236" s="4" t="n"/>
      <c r="J236" s="4" t="n"/>
    </row>
    <row r="237">
      <c r="A237" s="14">
        <f>IF(F237&lt;&gt;"",ROW()-4,"")</f>
        <v/>
      </c>
      <c r="B237" s="15" t="n"/>
      <c r="C237" s="4" t="n"/>
      <c r="D237" s="4" t="n"/>
      <c r="E237" s="4" t="n"/>
      <c r="F237" s="16" t="n"/>
      <c r="G237" s="4" t="n"/>
      <c r="H237" s="4" t="n"/>
      <c r="I237" s="4" t="n"/>
      <c r="J237" s="4" t="n"/>
    </row>
    <row r="238">
      <c r="A238" s="18">
        <f>IF(F238&lt;&gt;"",ROW()-4,"")</f>
        <v/>
      </c>
      <c r="B238" s="15" t="n"/>
      <c r="C238" s="4" t="n"/>
      <c r="D238" s="4" t="n"/>
      <c r="E238" s="4" t="n"/>
      <c r="F238" s="16" t="n"/>
      <c r="G238" s="4" t="n"/>
      <c r="H238" s="4" t="n"/>
      <c r="I238" s="4" t="n"/>
      <c r="J238" s="4" t="n"/>
    </row>
    <row r="239">
      <c r="A239" s="14">
        <f>IF(F239&lt;&gt;"",ROW()-4,"")</f>
        <v/>
      </c>
      <c r="B239" s="15" t="n"/>
      <c r="C239" s="4" t="n"/>
      <c r="D239" s="4" t="n"/>
      <c r="E239" s="4" t="n"/>
      <c r="F239" s="16" t="n"/>
      <c r="G239" s="4" t="n"/>
      <c r="H239" s="4" t="n"/>
      <c r="I239" s="4" t="n"/>
      <c r="J239" s="4" t="n"/>
    </row>
    <row r="240">
      <c r="A240" s="18">
        <f>IF(F240&lt;&gt;"",ROW()-4,"")</f>
        <v/>
      </c>
      <c r="B240" s="15" t="n"/>
      <c r="C240" s="4" t="n"/>
      <c r="D240" s="4" t="n"/>
      <c r="E240" s="4" t="n"/>
      <c r="F240" s="16" t="n"/>
      <c r="G240" s="4" t="n"/>
      <c r="H240" s="4" t="n"/>
      <c r="I240" s="4" t="n"/>
      <c r="J240" s="4" t="n"/>
    </row>
    <row r="241">
      <c r="A241" s="14">
        <f>IF(F241&lt;&gt;"",ROW()-4,"")</f>
        <v/>
      </c>
      <c r="B241" s="15" t="n"/>
      <c r="C241" s="4" t="n"/>
      <c r="D241" s="4" t="n"/>
      <c r="E241" s="4" t="n"/>
      <c r="F241" s="16" t="n"/>
      <c r="G241" s="4" t="n"/>
      <c r="H241" s="4" t="n"/>
      <c r="I241" s="4" t="n"/>
      <c r="J241" s="4" t="n"/>
    </row>
    <row r="242">
      <c r="A242" s="18">
        <f>IF(F242&lt;&gt;"",ROW()-4,"")</f>
        <v/>
      </c>
      <c r="B242" s="15" t="n"/>
      <c r="C242" s="4" t="n"/>
      <c r="D242" s="4" t="n"/>
      <c r="E242" s="4" t="n"/>
      <c r="F242" s="16" t="n"/>
      <c r="G242" s="4" t="n"/>
      <c r="H242" s="4" t="n"/>
      <c r="I242" s="4" t="n"/>
      <c r="J242" s="4" t="n"/>
    </row>
    <row r="243">
      <c r="A243" s="14">
        <f>IF(F243&lt;&gt;"",ROW()-4,"")</f>
        <v/>
      </c>
      <c r="B243" s="15" t="n"/>
      <c r="C243" s="4" t="n"/>
      <c r="D243" s="4" t="n"/>
      <c r="E243" s="4" t="n"/>
      <c r="F243" s="16" t="n"/>
      <c r="G243" s="4" t="n"/>
      <c r="H243" s="4" t="n"/>
      <c r="I243" s="4" t="n"/>
      <c r="J243" s="4" t="n"/>
    </row>
    <row r="244">
      <c r="A244" s="18">
        <f>IF(F244&lt;&gt;"",ROW()-4,"")</f>
        <v/>
      </c>
      <c r="B244" s="15" t="n"/>
      <c r="C244" s="4" t="n"/>
      <c r="D244" s="4" t="n"/>
      <c r="E244" s="4" t="n"/>
      <c r="F244" s="16" t="n"/>
      <c r="G244" s="4" t="n"/>
      <c r="H244" s="4" t="n"/>
      <c r="I244" s="4" t="n"/>
      <c r="J244" s="4" t="n"/>
    </row>
    <row r="245">
      <c r="A245" s="14">
        <f>IF(F245&lt;&gt;"",ROW()-4,"")</f>
        <v/>
      </c>
      <c r="B245" s="15" t="n"/>
      <c r="C245" s="4" t="n"/>
      <c r="D245" s="4" t="n"/>
      <c r="E245" s="4" t="n"/>
      <c r="F245" s="16" t="n"/>
      <c r="G245" s="4" t="n"/>
      <c r="H245" s="4" t="n"/>
      <c r="I245" s="4" t="n"/>
      <c r="J245" s="4" t="n"/>
    </row>
    <row r="246">
      <c r="A246" s="18">
        <f>IF(F246&lt;&gt;"",ROW()-4,"")</f>
        <v/>
      </c>
      <c r="B246" s="15" t="n"/>
      <c r="C246" s="4" t="n"/>
      <c r="D246" s="4" t="n"/>
      <c r="E246" s="4" t="n"/>
      <c r="F246" s="16" t="n"/>
      <c r="G246" s="4" t="n"/>
      <c r="H246" s="4" t="n"/>
      <c r="I246" s="4" t="n"/>
      <c r="J246" s="4" t="n"/>
    </row>
    <row r="247">
      <c r="A247" s="14">
        <f>IF(F247&lt;&gt;"",ROW()-4,"")</f>
        <v/>
      </c>
      <c r="B247" s="15" t="n"/>
      <c r="C247" s="4" t="n"/>
      <c r="D247" s="4" t="n"/>
      <c r="E247" s="4" t="n"/>
      <c r="F247" s="16" t="n"/>
      <c r="G247" s="4" t="n"/>
      <c r="H247" s="4" t="n"/>
      <c r="I247" s="4" t="n"/>
      <c r="J247" s="4" t="n"/>
    </row>
    <row r="248">
      <c r="A248" s="18">
        <f>IF(F248&lt;&gt;"",ROW()-4,"")</f>
        <v/>
      </c>
      <c r="B248" s="15" t="n"/>
      <c r="C248" s="4" t="n"/>
      <c r="D248" s="4" t="n"/>
      <c r="E248" s="4" t="n"/>
      <c r="F248" s="16" t="n"/>
      <c r="G248" s="4" t="n"/>
      <c r="H248" s="4" t="n"/>
      <c r="I248" s="4" t="n"/>
      <c r="J248" s="4" t="n"/>
    </row>
    <row r="249">
      <c r="A249" s="14">
        <f>IF(F249&lt;&gt;"",ROW()-4,"")</f>
        <v/>
      </c>
      <c r="B249" s="15" t="n"/>
      <c r="C249" s="4" t="n"/>
      <c r="D249" s="4" t="n"/>
      <c r="E249" s="4" t="n"/>
      <c r="F249" s="16" t="n"/>
      <c r="G249" s="4" t="n"/>
      <c r="H249" s="4" t="n"/>
      <c r="I249" s="4" t="n"/>
      <c r="J249" s="4" t="n"/>
    </row>
    <row r="250">
      <c r="A250" s="18">
        <f>IF(F250&lt;&gt;"",ROW()-4,"")</f>
        <v/>
      </c>
      <c r="B250" s="15" t="n"/>
      <c r="C250" s="4" t="n"/>
      <c r="D250" s="4" t="n"/>
      <c r="E250" s="4" t="n"/>
      <c r="F250" s="16" t="n"/>
      <c r="G250" s="4" t="n"/>
      <c r="H250" s="4" t="n"/>
      <c r="I250" s="4" t="n"/>
      <c r="J250" s="4" t="n"/>
    </row>
    <row r="251">
      <c r="A251" s="14">
        <f>IF(F251&lt;&gt;"",ROW()-4,"")</f>
        <v/>
      </c>
      <c r="B251" s="15" t="n"/>
      <c r="C251" s="4" t="n"/>
      <c r="D251" s="4" t="n"/>
      <c r="E251" s="4" t="n"/>
      <c r="F251" s="16" t="n"/>
      <c r="G251" s="4" t="n"/>
      <c r="H251" s="4" t="n"/>
      <c r="I251" s="4" t="n"/>
      <c r="J251" s="4" t="n"/>
    </row>
    <row r="252">
      <c r="A252" s="18">
        <f>IF(F252&lt;&gt;"",ROW()-4,"")</f>
        <v/>
      </c>
      <c r="B252" s="15" t="n"/>
      <c r="C252" s="4" t="n"/>
      <c r="D252" s="4" t="n"/>
      <c r="E252" s="4" t="n"/>
      <c r="F252" s="16" t="n"/>
      <c r="G252" s="4" t="n"/>
      <c r="H252" s="4" t="n"/>
      <c r="I252" s="4" t="n"/>
      <c r="J252" s="4" t="n"/>
    </row>
    <row r="253">
      <c r="A253" s="14">
        <f>IF(F253&lt;&gt;"",ROW()-4,"")</f>
        <v/>
      </c>
      <c r="B253" s="15" t="n"/>
      <c r="C253" s="4" t="n"/>
      <c r="D253" s="4" t="n"/>
      <c r="E253" s="4" t="n"/>
      <c r="F253" s="16" t="n"/>
      <c r="G253" s="4" t="n"/>
      <c r="H253" s="4" t="n"/>
      <c r="I253" s="4" t="n"/>
      <c r="J253" s="4" t="n"/>
    </row>
    <row r="254">
      <c r="A254" s="18">
        <f>IF(F254&lt;&gt;"",ROW()-4,"")</f>
        <v/>
      </c>
      <c r="B254" s="15" t="n"/>
      <c r="C254" s="4" t="n"/>
      <c r="D254" s="4" t="n"/>
      <c r="E254" s="4" t="n"/>
      <c r="F254" s="16" t="n"/>
      <c r="G254" s="4" t="n"/>
      <c r="H254" s="4" t="n"/>
      <c r="I254" s="4" t="n"/>
      <c r="J254" s="4" t="n"/>
    </row>
    <row r="255">
      <c r="A255" s="14">
        <f>IF(F255&lt;&gt;"",ROW()-4,"")</f>
        <v/>
      </c>
      <c r="B255" s="15" t="n"/>
      <c r="C255" s="4" t="n"/>
      <c r="D255" s="4" t="n"/>
      <c r="E255" s="4" t="n"/>
      <c r="F255" s="16" t="n"/>
      <c r="G255" s="4" t="n"/>
      <c r="H255" s="4" t="n"/>
      <c r="I255" s="4" t="n"/>
      <c r="J255" s="4" t="n"/>
    </row>
    <row r="256" ht="24" customHeight="1">
      <c r="A256" s="19" t="inlineStr">
        <is>
          <t>TOTAL EXPENSES THIS MONTH</t>
        </is>
      </c>
      <c r="F256" s="11">
        <f>SUM(F5:F255)</f>
        <v/>
      </c>
      <c r="G256" s="12" t="n"/>
      <c r="H256" s="12" t="n"/>
      <c r="I256" s="12" t="n"/>
      <c r="J256" s="12" t="n"/>
    </row>
  </sheetData>
  <mergeCells count="3">
    <mergeCell ref="A1:J1"/>
    <mergeCell ref="A2:J2"/>
    <mergeCell ref="A256:E256"/>
  </mergeCells>
  <conditionalFormatting sqref="A5:J255">
    <cfRule type="expression" priority="1" dxfId="0">
      <formula>$D5="Fixed Bills"</formula>
    </cfRule>
    <cfRule type="expression" priority="2" dxfId="1">
      <formula>$D5="Food &amp; Dining"</formula>
    </cfRule>
    <cfRule type="expression" priority="3" dxfId="2">
      <formula>$D5="Transport &amp; Fuel"</formula>
    </cfRule>
    <cfRule type="expression" priority="4" dxfId="3">
      <formula>$D5="Shopping &amp; Clothing"</formula>
    </cfRule>
    <cfRule type="expression" priority="5" dxfId="4">
      <formula>$D5="Entertainment &amp; OTT"</formula>
    </cfRule>
    <cfRule type="expression" priority="6" dxfId="5">
      <formula>$D5="Groceries"</formula>
    </cfRule>
    <cfRule type="expression" priority="7" dxfId="6">
      <formula>$D5="Investment"</formula>
    </cfRule>
    <cfRule type="expression" priority="8" dxfId="7">
      <formula>$D5="Added to Savings"</formula>
    </cfRule>
    <cfRule type="expression" priority="9" dxfId="8">
      <formula>$D5="Credit Card Payment"</formula>
    </cfRule>
    <cfRule type="expression" priority="10" dxfId="9">
      <formula>$D5="Miscellaneous"</formula>
    </cfRule>
  </conditionalFormatting>
  <dataValidations count="5">
    <dataValidation sqref="D5:D255" showErrorMessage="1" showInputMessage="1" allowBlank="1" errorTitle="Invalid Category" error="Pick a category from the list" type="list">
      <formula1>_Lists!$A$1:$A$10</formula1>
    </dataValidation>
    <dataValidation sqref="E5:E255" showErrorMessage="1" showDropDown="0" showInputMessage="1" allowBlank="1" type="list">
      <formula1>_Lists!$O$1:$O$41</formula1>
    </dataValidation>
    <dataValidation sqref="G5:G255" showErrorMessage="1" showInputMessage="1" allowBlank="1" type="list">
      <formula1>_Lists!$Q$1:$Q$8</formula1>
    </dataValidation>
    <dataValidation sqref="H5:H255" showErrorMessage="1" showInputMessage="1" allowBlank="1" type="list">
      <formula1>Setup!$D$5:$D$9</formula1>
    </dataValidation>
    <dataValidation sqref="I5:I255" showErrorMessage="1" showInputMessage="1" allowBlank="1" type="list">
      <formula1>_Lists!$R$1:$R$10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22" customWidth="1" min="4" max="4"/>
    <col width="22" customWidth="1" min="5" max="5"/>
    <col width="14" customWidth="1" min="6" max="6"/>
    <col width="20" customWidth="1" min="7" max="7"/>
    <col width="20" customWidth="1" min="8" max="8"/>
    <col width="22" customWidth="1" min="9" max="9"/>
    <col width="22" customWidth="1" min="10" max="10"/>
    <col width="2" customWidth="1" min="11" max="11"/>
    <col width="26" customWidth="1" min="12" max="12"/>
    <col width="16" customWidth="1" min="13" max="13"/>
  </cols>
  <sheetData>
    <row r="1" ht="36" customHeight="1">
      <c r="A1" s="1" t="inlineStr">
        <is>
          <t>📝  DECEMBER — EXPENSE LOG</t>
        </is>
      </c>
    </row>
    <row r="2" ht="32" customHeight="1">
      <c r="A2" s="13" t="inlineStr">
        <is>
          <t>ℹ️  Date is DateTime. Category dropdown → Sub-category changes automatically. 'Added to Savings' → pick your saving account in Sub-category. CC spend → pick card in 'CC Name'. CC payment → increases card limit.</t>
        </is>
      </c>
    </row>
    <row r="4" ht="28" customHeight="1">
      <c r="A4" s="3" t="inlineStr">
        <is>
          <t>#</t>
        </is>
      </c>
      <c r="B4" s="3" t="inlineStr">
        <is>
          <t>Date &amp; Time</t>
        </is>
      </c>
      <c r="C4" s="3" t="inlineStr">
        <is>
          <t>Description</t>
        </is>
      </c>
      <c r="D4" s="3" t="inlineStr">
        <is>
          <t>Category</t>
        </is>
      </c>
      <c r="E4" s="3" t="inlineStr">
        <is>
          <t>Sub-category</t>
        </is>
      </c>
      <c r="F4" s="3" t="inlineStr">
        <is>
          <t>Amount (₹)</t>
        </is>
      </c>
      <c r="G4" s="3" t="inlineStr">
        <is>
          <t>Paid From</t>
        </is>
      </c>
      <c r="H4" s="3" t="inlineStr">
        <is>
          <t>CC Name</t>
        </is>
      </c>
      <c r="I4" s="3" t="inlineStr">
        <is>
          <t>Account</t>
        </is>
      </c>
      <c r="J4" s="3" t="inlineStr">
        <is>
          <t>Notes</t>
        </is>
      </c>
      <c r="L4" s="3" t="inlineStr">
        <is>
          <t>📊  December Summary</t>
        </is>
      </c>
      <c r="M4" s="3" t="inlineStr">
        <is>
          <t>Amount (₹)</t>
        </is>
      </c>
    </row>
    <row r="5" ht="22" customHeight="1">
      <c r="A5" s="14">
        <f>IF(F5&lt;&gt;"",ROW()-4,"")</f>
        <v/>
      </c>
      <c r="B5" s="15" t="n"/>
      <c r="C5" s="4" t="n"/>
      <c r="D5" s="4" t="n"/>
      <c r="E5" s="4" t="n"/>
      <c r="F5" s="16" t="n"/>
      <c r="G5" s="4" t="n"/>
      <c r="H5" s="4" t="n"/>
      <c r="I5" s="4" t="n"/>
      <c r="J5" s="4" t="n"/>
      <c r="L5" s="17" t="inlineStr">
        <is>
          <t>Total Expenses</t>
        </is>
      </c>
      <c r="M5" s="9">
        <f>F256</f>
        <v/>
      </c>
    </row>
    <row r="6" ht="22" customHeight="1">
      <c r="A6" s="18">
        <f>IF(F6&lt;&gt;"",ROW()-4,"")</f>
        <v/>
      </c>
      <c r="B6" s="15" t="n"/>
      <c r="C6" s="4" t="n"/>
      <c r="D6" s="4" t="n"/>
      <c r="E6" s="4" t="n"/>
      <c r="F6" s="16" t="n"/>
      <c r="G6" s="4" t="n"/>
      <c r="H6" s="4" t="n"/>
      <c r="I6" s="4" t="n"/>
      <c r="J6" s="4" t="n"/>
      <c r="L6" s="17" t="inlineStr">
        <is>
          <t>Income This Month</t>
        </is>
      </c>
      <c r="M6" s="9">
        <f>Income!E12</f>
        <v/>
      </c>
    </row>
    <row r="7" ht="22" customHeight="1">
      <c r="A7" s="14">
        <f>IF(F7&lt;&gt;"",ROW()-4,"")</f>
        <v/>
      </c>
      <c r="B7" s="15" t="n"/>
      <c r="C7" s="4" t="n"/>
      <c r="D7" s="4" t="n"/>
      <c r="E7" s="4" t="n"/>
      <c r="F7" s="16" t="n"/>
      <c r="G7" s="4" t="n"/>
      <c r="H7" s="4" t="n"/>
      <c r="I7" s="4" t="n"/>
      <c r="J7" s="4" t="n"/>
      <c r="L7" s="17" t="inlineStr">
        <is>
          <t>Net This Month</t>
        </is>
      </c>
      <c r="M7" s="9">
        <f>M6-M5</f>
        <v/>
      </c>
    </row>
    <row r="8" ht="22" customHeight="1">
      <c r="A8" s="18">
        <f>IF(F8&lt;&gt;"",ROW()-4,"")</f>
        <v/>
      </c>
      <c r="B8" s="15" t="n"/>
      <c r="C8" s="4" t="n"/>
      <c r="D8" s="4" t="n"/>
      <c r="E8" s="4" t="n"/>
      <c r="F8" s="16" t="n"/>
      <c r="G8" s="4" t="n"/>
      <c r="H8" s="4" t="n"/>
      <c r="I8" s="4" t="n"/>
      <c r="J8" s="4" t="n"/>
      <c r="L8" s="17" t="inlineStr">
        <is>
          <t>Savings 1 (this month)</t>
        </is>
      </c>
      <c r="M8" s="9">
        <f>IF(Setup!A13&lt;&gt;"",SUMIFS(F5:F255,D5:D255,"Added to Savings",I5:I255,Setup!A13)-SUMIFS(F5:F255,G5:G255,Setup!A13),"")</f>
        <v/>
      </c>
    </row>
    <row r="9" ht="22" customHeight="1">
      <c r="A9" s="14">
        <f>IF(F9&lt;&gt;"",ROW()-4,"")</f>
        <v/>
      </c>
      <c r="B9" s="15" t="n"/>
      <c r="C9" s="4" t="n"/>
      <c r="D9" s="4" t="n"/>
      <c r="E9" s="4" t="n"/>
      <c r="F9" s="16" t="n"/>
      <c r="G9" s="4" t="n"/>
      <c r="H9" s="4" t="n"/>
      <c r="I9" s="4" t="n"/>
      <c r="J9" s="4" t="n"/>
      <c r="L9" s="17" t="inlineStr">
        <is>
          <t>Savings 1 (balance)</t>
        </is>
      </c>
      <c r="M9" s="9">
        <f>IF(Setup!A13&lt;&gt;"",Setup!B13+(SUMIFS('April'!F5:F64,'April'!D5:D64,"Added to Savings",'April'!I5:I64,Setup!A13)+SUMIFS('May'!F5:F64,'May'!D5:D64,"Added to Savings",'May'!I5:I64,Setup!A13)+SUMIFS('June'!F5:F64,'June'!D5:D64,"Added to Savings",'June'!I5:I64,Setup!A13)+SUMIFS('July'!F5:F64,'July'!D5:D64,"Added to Savings",'July'!I5:I64,Setup!A13)+SUMIFS('August'!F5:F64,'August'!D5:D64,"Added to Savings",'August'!I5:I64,Setup!A13)+SUMIFS('September'!F5:F64,'September'!D5:D64,"Added to Savings",'September'!I5:I64,Setup!A13)+SUMIFS('October'!F5:F64,'October'!D5:D64,"Added to Savings",'October'!I5:I64,Setup!A13)+SUMIFS('November'!F5:F64,'November'!D5:D64,"Added to Savings",'November'!I5:I64,Setup!A13)+SUMIFS('December'!F5:F64,'December'!D5:D64,"Added to Savings",'December'!I5:I64,Setup!A13))-(SUMIFS('April'!F5:F64,'April'!G5:G64,Setup!A13)+SUMIFS('May'!F5:F64,'May'!G5:G64,Setup!A13)+SUMIFS('June'!F5:F64,'June'!G5:G64,Setup!A13)+SUMIFS('July'!F5:F64,'July'!G5:G64,Setup!A13)+SUMIFS('August'!F5:F64,'August'!G5:G64,Setup!A13)+SUMIFS('September'!F5:F64,'September'!G5:G64,Setup!A13)+SUMIFS('October'!F5:F64,'October'!G5:G64,Setup!A13)+SUMIFS('November'!F5:F64,'November'!G5:G64,Setup!A13)+SUMIFS('December'!F5:F64,'December'!G5:G64,Setup!A13)),"")</f>
        <v/>
      </c>
    </row>
    <row r="10" ht="22" customHeight="1">
      <c r="A10" s="18">
        <f>IF(F10&lt;&gt;"",ROW()-4,"")</f>
        <v/>
      </c>
      <c r="B10" s="15" t="n"/>
      <c r="C10" s="4" t="n"/>
      <c r="D10" s="4" t="n"/>
      <c r="E10" s="4" t="n"/>
      <c r="F10" s="16" t="n"/>
      <c r="G10" s="4" t="n"/>
      <c r="H10" s="4" t="n"/>
      <c r="I10" s="4" t="n"/>
      <c r="J10" s="4" t="n"/>
      <c r="L10" s="17" t="inlineStr">
        <is>
          <t>Savings 2 (this month)</t>
        </is>
      </c>
      <c r="M10" s="9">
        <f>IF(Setup!A14&lt;&gt;"",SUMIFS(F5:F255,D5:D255,"Added to Savings",I5:I255,Setup!A14)-SUMIFS(F5:F255,G5:G255,Setup!A14),"")</f>
        <v/>
      </c>
    </row>
    <row r="11" ht="22" customHeight="1">
      <c r="A11" s="14">
        <f>IF(F11&lt;&gt;"",ROW()-4,"")</f>
        <v/>
      </c>
      <c r="B11" s="15" t="n"/>
      <c r="C11" s="4" t="n"/>
      <c r="D11" s="4" t="n"/>
      <c r="E11" s="4" t="n"/>
      <c r="F11" s="16" t="n"/>
      <c r="G11" s="4" t="n"/>
      <c r="H11" s="4" t="n"/>
      <c r="I11" s="4" t="n"/>
      <c r="J11" s="4" t="n"/>
      <c r="L11" s="17" t="inlineStr">
        <is>
          <t>Savings 2 (balance)</t>
        </is>
      </c>
      <c r="M11" s="9">
        <f>IF(Setup!A14&lt;&gt;"",Setup!B14+(SUMIFS('April'!F5:F64,'April'!D5:D64,"Added to Savings",'April'!I5:I64,Setup!A14)+SUMIFS('May'!F5:F64,'May'!D5:D64,"Added to Savings",'May'!I5:I64,Setup!A14)+SUMIFS('June'!F5:F64,'June'!D5:D64,"Added to Savings",'June'!I5:I64,Setup!A14)+SUMIFS('July'!F5:F64,'July'!D5:D64,"Added to Savings",'July'!I5:I64,Setup!A14)+SUMIFS('August'!F5:F64,'August'!D5:D64,"Added to Savings",'August'!I5:I64,Setup!A14)+SUMIFS('September'!F5:F64,'September'!D5:D64,"Added to Savings",'September'!I5:I64,Setup!A14)+SUMIFS('October'!F5:F64,'October'!D5:D64,"Added to Savings",'October'!I5:I64,Setup!A14)+SUMIFS('November'!F5:F64,'November'!D5:D64,"Added to Savings",'November'!I5:I64,Setup!A14)+SUMIFS('December'!F5:F64,'December'!D5:D64,"Added to Savings",'December'!I5:I64,Setup!A14))-(SUMIFS('April'!F5:F64,'April'!G5:G64,Setup!A14)+SUMIFS('May'!F5:F64,'May'!G5:G64,Setup!A14)+SUMIFS('June'!F5:F64,'June'!G5:G64,Setup!A14)+SUMIFS('July'!F5:F64,'July'!G5:G64,Setup!A14)+SUMIFS('August'!F5:F64,'August'!G5:G64,Setup!A14)+SUMIFS('September'!F5:F64,'September'!G5:G64,Setup!A14)+SUMIFS('October'!F5:F64,'October'!G5:G64,Setup!A14)+SUMIFS('November'!F5:F64,'November'!G5:G64,Setup!A14)+SUMIFS('December'!F5:F64,'December'!G5:G64,Setup!A14)),"")</f>
        <v/>
      </c>
    </row>
    <row r="12" ht="22" customHeight="1">
      <c r="A12" s="18">
        <f>IF(F12&lt;&gt;"",ROW()-4,"")</f>
        <v/>
      </c>
      <c r="B12" s="15" t="n"/>
      <c r="C12" s="4" t="n"/>
      <c r="D12" s="4" t="n"/>
      <c r="E12" s="4" t="n"/>
      <c r="F12" s="16" t="n"/>
      <c r="G12" s="4" t="n"/>
      <c r="H12" s="4" t="n"/>
      <c r="I12" s="4" t="n"/>
      <c r="J12" s="4" t="n"/>
      <c r="L12" s="17" t="inlineStr">
        <is>
          <t>Savings 3 (this month)</t>
        </is>
      </c>
      <c r="M12" s="9">
        <f>IF(Setup!A15&lt;&gt;"",SUMIFS(F5:F255,D5:D255,"Added to Savings",I5:I255,Setup!A15)-SUMIFS(F5:F255,G5:G255,Setup!A15),"")</f>
        <v/>
      </c>
    </row>
    <row r="13" ht="22" customHeight="1">
      <c r="A13" s="14">
        <f>IF(F13&lt;&gt;"",ROW()-4,"")</f>
        <v/>
      </c>
      <c r="B13" s="15" t="n"/>
      <c r="C13" s="4" t="n"/>
      <c r="D13" s="4" t="n"/>
      <c r="E13" s="4" t="n"/>
      <c r="F13" s="16" t="n"/>
      <c r="G13" s="4" t="n"/>
      <c r="H13" s="4" t="n"/>
      <c r="I13" s="4" t="n"/>
      <c r="J13" s="4" t="n"/>
      <c r="L13" s="17" t="inlineStr">
        <is>
          <t>Savings 3 (balance)</t>
        </is>
      </c>
      <c r="M13" s="9">
        <f>IF(Setup!A15&lt;&gt;"",Setup!B15+(SUMIFS('April'!F5:F64,'April'!D5:D64,"Added to Savings",'April'!I5:I64,Setup!A15)+SUMIFS('May'!F5:F64,'May'!D5:D64,"Added to Savings",'May'!I5:I64,Setup!A15)+SUMIFS('June'!F5:F64,'June'!D5:D64,"Added to Savings",'June'!I5:I64,Setup!A15)+SUMIFS('July'!F5:F64,'July'!D5:D64,"Added to Savings",'July'!I5:I64,Setup!A15)+SUMIFS('August'!F5:F64,'August'!D5:D64,"Added to Savings",'August'!I5:I64,Setup!A15)+SUMIFS('September'!F5:F64,'September'!D5:D64,"Added to Savings",'September'!I5:I64,Setup!A15)+SUMIFS('October'!F5:F64,'October'!D5:D64,"Added to Savings",'October'!I5:I64,Setup!A15)+SUMIFS('November'!F5:F64,'November'!D5:D64,"Added to Savings",'November'!I5:I64,Setup!A15)+SUMIFS('December'!F5:F64,'December'!D5:D64,"Added to Savings",'December'!I5:I64,Setup!A15))-(SUMIFS('April'!F5:F64,'April'!G5:G64,Setup!A15)+SUMIFS('May'!F5:F64,'May'!G5:G64,Setup!A15)+SUMIFS('June'!F5:F64,'June'!G5:G64,Setup!A15)+SUMIFS('July'!F5:F64,'July'!G5:G64,Setup!A15)+SUMIFS('August'!F5:F64,'August'!G5:G64,Setup!A15)+SUMIFS('September'!F5:F64,'September'!G5:G64,Setup!A15)+SUMIFS('October'!F5:F64,'October'!G5:G64,Setup!A15)+SUMIFS('November'!F5:F64,'November'!G5:G64,Setup!A15)+SUMIFS('December'!F5:F64,'December'!G5:G64,Setup!A15)),"")</f>
        <v/>
      </c>
    </row>
    <row r="14" ht="22" customHeight="1">
      <c r="A14" s="18">
        <f>IF(F14&lt;&gt;"",ROW()-4,"")</f>
        <v/>
      </c>
      <c r="B14" s="15" t="n"/>
      <c r="C14" s="4" t="n"/>
      <c r="D14" s="4" t="n"/>
      <c r="E14" s="4" t="n"/>
      <c r="F14" s="16" t="n"/>
      <c r="G14" s="4" t="n"/>
      <c r="H14" s="4" t="n"/>
      <c r="I14" s="4" t="n"/>
      <c r="J14" s="4" t="n"/>
      <c r="L14" s="17" t="inlineStr">
        <is>
          <t>Savings 4 (this month)</t>
        </is>
      </c>
      <c r="M14" s="9">
        <f>IF(Setup!A16&lt;&gt;"",SUMIFS(F5:F255,D5:D255,"Added to Savings",I5:I255,Setup!A16)-SUMIFS(F5:F255,G5:G255,Setup!A16),"")</f>
        <v/>
      </c>
    </row>
    <row r="15" ht="22" customHeight="1">
      <c r="A15" s="14">
        <f>IF(F15&lt;&gt;"",ROW()-4,"")</f>
        <v/>
      </c>
      <c r="B15" s="15" t="n"/>
      <c r="C15" s="4" t="n"/>
      <c r="D15" s="4" t="n"/>
      <c r="E15" s="4" t="n"/>
      <c r="F15" s="16" t="n"/>
      <c r="G15" s="4" t="n"/>
      <c r="H15" s="4" t="n"/>
      <c r="I15" s="4" t="n"/>
      <c r="J15" s="4" t="n"/>
      <c r="L15" s="17" t="inlineStr">
        <is>
          <t>Savings 4 (balance)</t>
        </is>
      </c>
      <c r="M15" s="9">
        <f>IF(Setup!A16&lt;&gt;"",Setup!B16+(SUMIFS('April'!F5:F64,'April'!D5:D64,"Added to Savings",'April'!I5:I64,Setup!A16)+SUMIFS('May'!F5:F64,'May'!D5:D64,"Added to Savings",'May'!I5:I64,Setup!A16)+SUMIFS('June'!F5:F64,'June'!D5:D64,"Added to Savings",'June'!I5:I64,Setup!A16)+SUMIFS('July'!F5:F64,'July'!D5:D64,"Added to Savings",'July'!I5:I64,Setup!A16)+SUMIFS('August'!F5:F64,'August'!D5:D64,"Added to Savings",'August'!I5:I64,Setup!A16)+SUMIFS('September'!F5:F64,'September'!D5:D64,"Added to Savings",'September'!I5:I64,Setup!A16)+SUMIFS('October'!F5:F64,'October'!D5:D64,"Added to Savings",'October'!I5:I64,Setup!A16)+SUMIFS('November'!F5:F64,'November'!D5:D64,"Added to Savings",'November'!I5:I64,Setup!A16)+SUMIFS('December'!F5:F64,'December'!D5:D64,"Added to Savings",'December'!I5:I64,Setup!A16))-(SUMIFS('April'!F5:F64,'April'!G5:G64,Setup!A16)+SUMIFS('May'!F5:F64,'May'!G5:G64,Setup!A16)+SUMIFS('June'!F5:F64,'June'!G5:G64,Setup!A16)+SUMIFS('July'!F5:F64,'July'!G5:G64,Setup!A16)+SUMIFS('August'!F5:F64,'August'!G5:G64,Setup!A16)+SUMIFS('September'!F5:F64,'September'!G5:G64,Setup!A16)+SUMIFS('October'!F5:F64,'October'!G5:G64,Setup!A16)+SUMIFS('November'!F5:F64,'November'!G5:G64,Setup!A16)+SUMIFS('December'!F5:F64,'December'!G5:G64,Setup!A16)),"")</f>
        <v/>
      </c>
    </row>
    <row r="16" ht="22" customHeight="1">
      <c r="A16" s="18">
        <f>IF(F16&lt;&gt;"",ROW()-4,"")</f>
        <v/>
      </c>
      <c r="B16" s="15" t="n"/>
      <c r="C16" s="4" t="n"/>
      <c r="D16" s="4" t="n"/>
      <c r="E16" s="4" t="n"/>
      <c r="F16" s="16" t="n"/>
      <c r="G16" s="4" t="n"/>
      <c r="H16" s="4" t="n"/>
      <c r="I16" s="4" t="n"/>
      <c r="J16" s="4" t="n"/>
      <c r="L16" s="17" t="inlineStr">
        <is>
          <t>Savings 5 (this month)</t>
        </is>
      </c>
      <c r="M16" s="9">
        <f>IF(Setup!A17&lt;&gt;"",SUMIFS(F5:F255,D5:D255,"Added to Savings",I5:I255,Setup!A17)-SUMIFS(F5:F255,G5:G255,Setup!A17),"")</f>
        <v/>
      </c>
    </row>
    <row r="17" ht="22" customHeight="1">
      <c r="A17" s="14">
        <f>IF(F17&lt;&gt;"",ROW()-4,"")</f>
        <v/>
      </c>
      <c r="B17" s="15" t="n"/>
      <c r="C17" s="4" t="n"/>
      <c r="D17" s="4" t="n"/>
      <c r="E17" s="4" t="n"/>
      <c r="F17" s="16" t="n"/>
      <c r="G17" s="4" t="n"/>
      <c r="H17" s="4" t="n"/>
      <c r="I17" s="4" t="n"/>
      <c r="J17" s="4" t="n"/>
      <c r="L17" s="17" t="inlineStr">
        <is>
          <t>Savings 5 (balance)</t>
        </is>
      </c>
      <c r="M17" s="9">
        <f>IF(Setup!A17&lt;&gt;"",Setup!B17+(SUMIFS('April'!F5:F64,'April'!D5:D64,"Added to Savings",'April'!I5:I64,Setup!A17)+SUMIFS('May'!F5:F64,'May'!D5:D64,"Added to Savings",'May'!I5:I64,Setup!A17)+SUMIFS('June'!F5:F64,'June'!D5:D64,"Added to Savings",'June'!I5:I64,Setup!A17)+SUMIFS('July'!F5:F64,'July'!D5:D64,"Added to Savings",'July'!I5:I64,Setup!A17)+SUMIFS('August'!F5:F64,'August'!D5:D64,"Added to Savings",'August'!I5:I64,Setup!A17)+SUMIFS('September'!F5:F64,'September'!D5:D64,"Added to Savings",'September'!I5:I64,Setup!A17)+SUMIFS('October'!F5:F64,'October'!D5:D64,"Added to Savings",'October'!I5:I64,Setup!A17)+SUMIFS('November'!F5:F64,'November'!D5:D64,"Added to Savings",'November'!I5:I64,Setup!A17)+SUMIFS('December'!F5:F64,'December'!D5:D64,"Added to Savings",'December'!I5:I64,Setup!A17))-(SUMIFS('April'!F5:F64,'April'!G5:G64,Setup!A17)+SUMIFS('May'!F5:F64,'May'!G5:G64,Setup!A17)+SUMIFS('June'!F5:F64,'June'!G5:G64,Setup!A17)+SUMIFS('July'!F5:F64,'July'!G5:G64,Setup!A17)+SUMIFS('August'!F5:F64,'August'!G5:G64,Setup!A17)+SUMIFS('September'!F5:F64,'September'!G5:G64,Setup!A17)+SUMIFS('October'!F5:F64,'October'!G5:G64,Setup!A17)+SUMIFS('November'!F5:F64,'November'!G5:G64,Setup!A17)+SUMIFS('December'!F5:F64,'December'!G5:G64,Setup!A17)),"")</f>
        <v/>
      </c>
    </row>
    <row r="18" ht="22" customHeight="1">
      <c r="A18" s="18">
        <f>IF(F18&lt;&gt;"",ROW()-4,"")</f>
        <v/>
      </c>
      <c r="B18" s="15" t="n"/>
      <c r="C18" s="4" t="n"/>
      <c r="D18" s="4" t="n"/>
      <c r="E18" s="4" t="n"/>
      <c r="F18" s="16" t="n"/>
      <c r="G18" s="4" t="n"/>
      <c r="H18" s="4" t="n"/>
      <c r="I18" s="4" t="n"/>
      <c r="J18" s="4" t="n"/>
      <c r="L18" s="17" t="inlineStr">
        <is>
          <t>Fixed Bills Paid</t>
        </is>
      </c>
      <c r="M18" s="9">
        <f>SUMIF(D5:D255,"Fixed Bills",F5:F255)</f>
        <v/>
      </c>
    </row>
    <row r="19" ht="22" customHeight="1">
      <c r="A19" s="14">
        <f>IF(F19&lt;&gt;"",ROW()-4,"")</f>
        <v/>
      </c>
      <c r="B19" s="15" t="n"/>
      <c r="C19" s="4" t="n"/>
      <c r="D19" s="4" t="n"/>
      <c r="E19" s="4" t="n"/>
      <c r="F19" s="16" t="n"/>
      <c r="G19" s="4" t="n"/>
      <c r="H19" s="4" t="n"/>
      <c r="I19" s="4" t="n"/>
      <c r="J19" s="4" t="n"/>
      <c r="L19" s="17" t="inlineStr">
        <is>
          <t>Food &amp; Dining</t>
        </is>
      </c>
      <c r="M19" s="9">
        <f>SUMIF(D5:D255,"Food &amp; Dining",F5:F255)</f>
        <v/>
      </c>
    </row>
    <row r="20" ht="22" customHeight="1">
      <c r="A20" s="18">
        <f>IF(F20&lt;&gt;"",ROW()-4,"")</f>
        <v/>
      </c>
      <c r="B20" s="15" t="n"/>
      <c r="C20" s="4" t="n"/>
      <c r="D20" s="4" t="n"/>
      <c r="E20" s="4" t="n"/>
      <c r="F20" s="16" t="n"/>
      <c r="G20" s="4" t="n"/>
      <c r="H20" s="4" t="n"/>
      <c r="I20" s="4" t="n"/>
      <c r="J20" s="4" t="n"/>
      <c r="L20" s="17" t="inlineStr">
        <is>
          <t>Transport</t>
        </is>
      </c>
      <c r="M20" s="9">
        <f>SUMIF(D5:D255,"Transport &amp; Fuel",F5:F255)</f>
        <v/>
      </c>
    </row>
    <row r="21" ht="22" customHeight="1">
      <c r="A21" s="14">
        <f>IF(F21&lt;&gt;"",ROW()-4,"")</f>
        <v/>
      </c>
      <c r="B21" s="15" t="n"/>
      <c r="C21" s="4" t="n"/>
      <c r="D21" s="4" t="n"/>
      <c r="E21" s="4" t="n"/>
      <c r="F21" s="16" t="n"/>
      <c r="G21" s="4" t="n"/>
      <c r="H21" s="4" t="n"/>
      <c r="I21" s="4" t="n"/>
      <c r="J21" s="4" t="n"/>
      <c r="L21" s="17" t="inlineStr">
        <is>
          <t>Groceries</t>
        </is>
      </c>
      <c r="M21" s="9">
        <f>SUMIF(D5:D255,"Groceries",F5:F255)</f>
        <v/>
      </c>
    </row>
    <row r="22" ht="22" customHeight="1">
      <c r="A22" s="18">
        <f>IF(F22&lt;&gt;"",ROW()-4,"")</f>
        <v/>
      </c>
      <c r="B22" s="15" t="n"/>
      <c r="C22" s="4" t="n"/>
      <c r="D22" s="4" t="n"/>
      <c r="E22" s="4" t="n"/>
      <c r="F22" s="16" t="n"/>
      <c r="G22" s="4" t="n"/>
      <c r="H22" s="4" t="n"/>
      <c r="I22" s="4" t="n"/>
      <c r="J22" s="4" t="n"/>
      <c r="L22" s="17" t="inlineStr">
        <is>
          <t>Shopping</t>
        </is>
      </c>
      <c r="M22" s="9">
        <f>SUMIF(D5:D255,"Shopping &amp; Clothing",F5:F255)</f>
        <v/>
      </c>
    </row>
    <row r="23" ht="22" customHeight="1">
      <c r="A23" s="14">
        <f>IF(F23&lt;&gt;"",ROW()-4,"")</f>
        <v/>
      </c>
      <c r="B23" s="15" t="n"/>
      <c r="C23" s="4" t="n"/>
      <c r="D23" s="4" t="n"/>
      <c r="E23" s="4" t="n"/>
      <c r="F23" s="16" t="n"/>
      <c r="G23" s="4" t="n"/>
      <c r="H23" s="4" t="n"/>
      <c r="I23" s="4" t="n"/>
      <c r="J23" s="4" t="n"/>
      <c r="L23" s="17" t="inlineStr">
        <is>
          <t>Entertainment</t>
        </is>
      </c>
      <c r="M23" s="9">
        <f>SUMIF(D5:D255,"Entertainment &amp; OTT",F5:F255)</f>
        <v/>
      </c>
    </row>
    <row r="24" ht="22" customHeight="1">
      <c r="A24" s="18">
        <f>IF(F24&lt;&gt;"",ROW()-4,"")</f>
        <v/>
      </c>
      <c r="B24" s="15" t="n"/>
      <c r="C24" s="4" t="n"/>
      <c r="D24" s="4" t="n"/>
      <c r="E24" s="4" t="n"/>
      <c r="F24" s="16" t="n"/>
      <c r="G24" s="4" t="n"/>
      <c r="H24" s="4" t="n"/>
      <c r="I24" s="4" t="n"/>
      <c r="J24" s="4" t="n"/>
      <c r="L24" s="17" t="inlineStr">
        <is>
          <t>Investment</t>
        </is>
      </c>
      <c r="M24" s="9">
        <f>SUMIF(D5:D255,"Investment",F5:F255)</f>
        <v/>
      </c>
    </row>
    <row r="25" ht="22" customHeight="1">
      <c r="A25" s="14">
        <f>IF(F25&lt;&gt;"",ROW()-4,"")</f>
        <v/>
      </c>
      <c r="B25" s="15" t="n"/>
      <c r="C25" s="4" t="n"/>
      <c r="D25" s="4" t="n"/>
      <c r="E25" s="4" t="n"/>
      <c r="F25" s="16" t="n"/>
      <c r="G25" s="4" t="n"/>
      <c r="H25" s="4" t="n"/>
      <c r="I25" s="4" t="n"/>
      <c r="J25" s="4" t="n"/>
      <c r="L25" s="17" t="inlineStr">
        <is>
          <t>Added to Savings</t>
        </is>
      </c>
      <c r="M25" s="9">
        <f>SUMIF(D5:D255,"Added to Savings",F5:F255)</f>
        <v/>
      </c>
    </row>
    <row r="26" ht="22" customHeight="1">
      <c r="A26" s="18">
        <f>IF(F26&lt;&gt;"",ROW()-4,"")</f>
        <v/>
      </c>
      <c r="B26" s="15" t="n"/>
      <c r="C26" s="4" t="n"/>
      <c r="D26" s="4" t="n"/>
      <c r="E26" s="4" t="n"/>
      <c r="F26" s="16" t="n"/>
      <c r="G26" s="4" t="n"/>
      <c r="H26" s="4" t="n"/>
      <c r="I26" s="4" t="n"/>
      <c r="J26" s="4" t="n"/>
      <c r="L26" s="17" t="inlineStr">
        <is>
          <t>CC Payments</t>
        </is>
      </c>
      <c r="M26" s="9">
        <f>SUMIF(D5:D255,"Credit Card Payment",F5:F255)</f>
        <v/>
      </c>
    </row>
    <row r="27" ht="22" customHeight="1">
      <c r="A27" s="14">
        <f>IF(F27&lt;&gt;"",ROW()-4,"")</f>
        <v/>
      </c>
      <c r="B27" s="15" t="n"/>
      <c r="C27" s="4" t="n"/>
      <c r="D27" s="4" t="n"/>
      <c r="E27" s="4" t="n"/>
      <c r="F27" s="16" t="n"/>
      <c r="G27" s="4" t="n"/>
      <c r="H27" s="4" t="n"/>
      <c r="I27" s="4" t="n"/>
      <c r="J27" s="4" t="n"/>
      <c r="L27" s="17" t="inlineStr">
        <is>
          <t>Miscellaneous</t>
        </is>
      </c>
      <c r="M27" s="9">
        <f>SUMIF(D5:D255,"Miscellaneous",F5:F255)</f>
        <v/>
      </c>
    </row>
    <row r="28">
      <c r="A28" s="18">
        <f>IF(F28&lt;&gt;"",ROW()-4,"")</f>
        <v/>
      </c>
      <c r="B28" s="15" t="n"/>
      <c r="C28" s="4" t="n"/>
      <c r="D28" s="4" t="n"/>
      <c r="E28" s="4" t="n"/>
      <c r="F28" s="16" t="n"/>
      <c r="G28" s="4" t="n"/>
      <c r="H28" s="4" t="n"/>
      <c r="I28" s="4" t="n"/>
      <c r="J28" s="4" t="n"/>
    </row>
    <row r="29">
      <c r="A29" s="14">
        <f>IF(F29&lt;&gt;"",ROW()-4,"")</f>
        <v/>
      </c>
      <c r="B29" s="15" t="n"/>
      <c r="C29" s="4" t="n"/>
      <c r="D29" s="4" t="n"/>
      <c r="E29" s="4" t="n"/>
      <c r="F29" s="16" t="n"/>
      <c r="G29" s="4" t="n"/>
      <c r="H29" s="4" t="n"/>
      <c r="I29" s="4" t="n"/>
      <c r="J29" s="4" t="n"/>
    </row>
    <row r="30">
      <c r="A30" s="18">
        <f>IF(F30&lt;&gt;"",ROW()-4,"")</f>
        <v/>
      </c>
      <c r="B30" s="15" t="n"/>
      <c r="C30" s="4" t="n"/>
      <c r="D30" s="4" t="n"/>
      <c r="E30" s="4" t="n"/>
      <c r="F30" s="16" t="n"/>
      <c r="G30" s="4" t="n"/>
      <c r="H30" s="4" t="n"/>
      <c r="I30" s="4" t="n"/>
      <c r="J30" s="4" t="n"/>
    </row>
    <row r="31">
      <c r="A31" s="14">
        <f>IF(F31&lt;&gt;"",ROW()-4,"")</f>
        <v/>
      </c>
      <c r="B31" s="15" t="n"/>
      <c r="C31" s="4" t="n"/>
      <c r="D31" s="4" t="n"/>
      <c r="E31" s="4" t="n"/>
      <c r="F31" s="16" t="n"/>
      <c r="G31" s="4" t="n"/>
      <c r="H31" s="4" t="n"/>
      <c r="I31" s="4" t="n"/>
      <c r="J31" s="4" t="n"/>
    </row>
    <row r="32">
      <c r="A32" s="18">
        <f>IF(F32&lt;&gt;"",ROW()-4,"")</f>
        <v/>
      </c>
      <c r="B32" s="15" t="n"/>
      <c r="C32" s="4" t="n"/>
      <c r="D32" s="4" t="n"/>
      <c r="E32" s="4" t="n"/>
      <c r="F32" s="16" t="n"/>
      <c r="G32" s="4" t="n"/>
      <c r="H32" s="4" t="n"/>
      <c r="I32" s="4" t="n"/>
      <c r="J32" s="4" t="n"/>
    </row>
    <row r="33">
      <c r="A33" s="14">
        <f>IF(F33&lt;&gt;"",ROW()-4,"")</f>
        <v/>
      </c>
      <c r="B33" s="15" t="n"/>
      <c r="C33" s="4" t="n"/>
      <c r="D33" s="4" t="n"/>
      <c r="E33" s="4" t="n"/>
      <c r="F33" s="16" t="n"/>
      <c r="G33" s="4" t="n"/>
      <c r="H33" s="4" t="n"/>
      <c r="I33" s="4" t="n"/>
      <c r="J33" s="4" t="n"/>
    </row>
    <row r="34">
      <c r="A34" s="18">
        <f>IF(F34&lt;&gt;"",ROW()-4,"")</f>
        <v/>
      </c>
      <c r="B34" s="15" t="n"/>
      <c r="C34" s="4" t="n"/>
      <c r="D34" s="4" t="n"/>
      <c r="E34" s="4" t="n"/>
      <c r="F34" s="16" t="n"/>
      <c r="G34" s="4" t="n"/>
      <c r="H34" s="4" t="n"/>
      <c r="I34" s="4" t="n"/>
      <c r="J34" s="4" t="n"/>
    </row>
    <row r="35">
      <c r="A35" s="14">
        <f>IF(F35&lt;&gt;"",ROW()-4,"")</f>
        <v/>
      </c>
      <c r="B35" s="15" t="n"/>
      <c r="C35" s="4" t="n"/>
      <c r="D35" s="4" t="n"/>
      <c r="E35" s="4" t="n"/>
      <c r="F35" s="16" t="n"/>
      <c r="G35" s="4" t="n"/>
      <c r="H35" s="4" t="n"/>
      <c r="I35" s="4" t="n"/>
      <c r="J35" s="4" t="n"/>
    </row>
    <row r="36">
      <c r="A36" s="18">
        <f>IF(F36&lt;&gt;"",ROW()-4,"")</f>
        <v/>
      </c>
      <c r="B36" s="15" t="n"/>
      <c r="C36" s="4" t="n"/>
      <c r="D36" s="4" t="n"/>
      <c r="E36" s="4" t="n"/>
      <c r="F36" s="16" t="n"/>
      <c r="G36" s="4" t="n"/>
      <c r="H36" s="4" t="n"/>
      <c r="I36" s="4" t="n"/>
      <c r="J36" s="4" t="n"/>
    </row>
    <row r="37">
      <c r="A37" s="14">
        <f>IF(F37&lt;&gt;"",ROW()-4,"")</f>
        <v/>
      </c>
      <c r="B37" s="15" t="n"/>
      <c r="C37" s="4" t="n"/>
      <c r="D37" s="4" t="n"/>
      <c r="E37" s="4" t="n"/>
      <c r="F37" s="16" t="n"/>
      <c r="G37" s="4" t="n"/>
      <c r="H37" s="4" t="n"/>
      <c r="I37" s="4" t="n"/>
      <c r="J37" s="4" t="n"/>
    </row>
    <row r="38">
      <c r="A38" s="18">
        <f>IF(F38&lt;&gt;"",ROW()-4,"")</f>
        <v/>
      </c>
      <c r="B38" s="15" t="n"/>
      <c r="C38" s="4" t="n"/>
      <c r="D38" s="4" t="n"/>
      <c r="E38" s="4" t="n"/>
      <c r="F38" s="16" t="n"/>
      <c r="G38" s="4" t="n"/>
      <c r="H38" s="4" t="n"/>
      <c r="I38" s="4" t="n"/>
      <c r="J38" s="4" t="n"/>
    </row>
    <row r="39">
      <c r="A39" s="14">
        <f>IF(F39&lt;&gt;"",ROW()-4,"")</f>
        <v/>
      </c>
      <c r="B39" s="15" t="n"/>
      <c r="C39" s="4" t="n"/>
      <c r="D39" s="4" t="n"/>
      <c r="E39" s="4" t="n"/>
      <c r="F39" s="16" t="n"/>
      <c r="G39" s="4" t="n"/>
      <c r="H39" s="4" t="n"/>
      <c r="I39" s="4" t="n"/>
      <c r="J39" s="4" t="n"/>
    </row>
    <row r="40">
      <c r="A40" s="18">
        <f>IF(F40&lt;&gt;"",ROW()-4,"")</f>
        <v/>
      </c>
      <c r="B40" s="15" t="n"/>
      <c r="C40" s="4" t="n"/>
      <c r="D40" s="4" t="n"/>
      <c r="E40" s="4" t="n"/>
      <c r="F40" s="16" t="n"/>
      <c r="G40" s="4" t="n"/>
      <c r="H40" s="4" t="n"/>
      <c r="I40" s="4" t="n"/>
      <c r="J40" s="4" t="n"/>
    </row>
    <row r="41">
      <c r="A41" s="14">
        <f>IF(F41&lt;&gt;"",ROW()-4,"")</f>
        <v/>
      </c>
      <c r="B41" s="15" t="n"/>
      <c r="C41" s="4" t="n"/>
      <c r="D41" s="4" t="n"/>
      <c r="E41" s="4" t="n"/>
      <c r="F41" s="16" t="n"/>
      <c r="G41" s="4" t="n"/>
      <c r="H41" s="4" t="n"/>
      <c r="I41" s="4" t="n"/>
      <c r="J41" s="4" t="n"/>
    </row>
    <row r="42">
      <c r="A42" s="18">
        <f>IF(F42&lt;&gt;"",ROW()-4,"")</f>
        <v/>
      </c>
      <c r="B42" s="15" t="n"/>
      <c r="C42" s="4" t="n"/>
      <c r="D42" s="4" t="n"/>
      <c r="E42" s="4" t="n"/>
      <c r="F42" s="16" t="n"/>
      <c r="G42" s="4" t="n"/>
      <c r="H42" s="4" t="n"/>
      <c r="I42" s="4" t="n"/>
      <c r="J42" s="4" t="n"/>
    </row>
    <row r="43">
      <c r="A43" s="14">
        <f>IF(F43&lt;&gt;"",ROW()-4,"")</f>
        <v/>
      </c>
      <c r="B43" s="15" t="n"/>
      <c r="C43" s="4" t="n"/>
      <c r="D43" s="4" t="n"/>
      <c r="E43" s="4" t="n"/>
      <c r="F43" s="16" t="n"/>
      <c r="G43" s="4" t="n"/>
      <c r="H43" s="4" t="n"/>
      <c r="I43" s="4" t="n"/>
      <c r="J43" s="4" t="n"/>
    </row>
    <row r="44">
      <c r="A44" s="18">
        <f>IF(F44&lt;&gt;"",ROW()-4,"")</f>
        <v/>
      </c>
      <c r="B44" s="15" t="n"/>
      <c r="C44" s="4" t="n"/>
      <c r="D44" s="4" t="n"/>
      <c r="E44" s="4" t="n"/>
      <c r="F44" s="16" t="n"/>
      <c r="G44" s="4" t="n"/>
      <c r="H44" s="4" t="n"/>
      <c r="I44" s="4" t="n"/>
      <c r="J44" s="4" t="n"/>
    </row>
    <row r="45">
      <c r="A45" s="14">
        <f>IF(F45&lt;&gt;"",ROW()-4,"")</f>
        <v/>
      </c>
      <c r="B45" s="15" t="n"/>
      <c r="C45" s="4" t="n"/>
      <c r="D45" s="4" t="n"/>
      <c r="E45" s="4" t="n"/>
      <c r="F45" s="16" t="n"/>
      <c r="G45" s="4" t="n"/>
      <c r="H45" s="4" t="n"/>
      <c r="I45" s="4" t="n"/>
      <c r="J45" s="4" t="n"/>
    </row>
    <row r="46">
      <c r="A46" s="18">
        <f>IF(F46&lt;&gt;"",ROW()-4,"")</f>
        <v/>
      </c>
      <c r="B46" s="15" t="n"/>
      <c r="C46" s="4" t="n"/>
      <c r="D46" s="4" t="n"/>
      <c r="E46" s="4" t="n"/>
      <c r="F46" s="16" t="n"/>
      <c r="G46" s="4" t="n"/>
      <c r="H46" s="4" t="n"/>
      <c r="I46" s="4" t="n"/>
      <c r="J46" s="4" t="n"/>
    </row>
    <row r="47">
      <c r="A47" s="14">
        <f>IF(F47&lt;&gt;"",ROW()-4,"")</f>
        <v/>
      </c>
      <c r="B47" s="15" t="n"/>
      <c r="C47" s="4" t="n"/>
      <c r="D47" s="4" t="n"/>
      <c r="E47" s="4" t="n"/>
      <c r="F47" s="16" t="n"/>
      <c r="G47" s="4" t="n"/>
      <c r="H47" s="4" t="n"/>
      <c r="I47" s="4" t="n"/>
      <c r="J47" s="4" t="n"/>
    </row>
    <row r="48">
      <c r="A48" s="18">
        <f>IF(F48&lt;&gt;"",ROW()-4,"")</f>
        <v/>
      </c>
      <c r="B48" s="15" t="n"/>
      <c r="C48" s="4" t="n"/>
      <c r="D48" s="4" t="n"/>
      <c r="E48" s="4" t="n"/>
      <c r="F48" s="16" t="n"/>
      <c r="G48" s="4" t="n"/>
      <c r="H48" s="4" t="n"/>
      <c r="I48" s="4" t="n"/>
      <c r="J48" s="4" t="n"/>
    </row>
    <row r="49">
      <c r="A49" s="14">
        <f>IF(F49&lt;&gt;"",ROW()-4,"")</f>
        <v/>
      </c>
      <c r="B49" s="15" t="n"/>
      <c r="C49" s="4" t="n"/>
      <c r="D49" s="4" t="n"/>
      <c r="E49" s="4" t="n"/>
      <c r="F49" s="16" t="n"/>
      <c r="G49" s="4" t="n"/>
      <c r="H49" s="4" t="n"/>
      <c r="I49" s="4" t="n"/>
      <c r="J49" s="4" t="n"/>
    </row>
    <row r="50">
      <c r="A50" s="18">
        <f>IF(F50&lt;&gt;"",ROW()-4,"")</f>
        <v/>
      </c>
      <c r="B50" s="15" t="n"/>
      <c r="C50" s="4" t="n"/>
      <c r="D50" s="4" t="n"/>
      <c r="E50" s="4" t="n"/>
      <c r="F50" s="16" t="n"/>
      <c r="G50" s="4" t="n"/>
      <c r="H50" s="4" t="n"/>
      <c r="I50" s="4" t="n"/>
      <c r="J50" s="4" t="n"/>
    </row>
    <row r="51">
      <c r="A51" s="14">
        <f>IF(F51&lt;&gt;"",ROW()-4,"")</f>
        <v/>
      </c>
      <c r="B51" s="15" t="n"/>
      <c r="C51" s="4" t="n"/>
      <c r="D51" s="4" t="n"/>
      <c r="E51" s="4" t="n"/>
      <c r="F51" s="16" t="n"/>
      <c r="G51" s="4" t="n"/>
      <c r="H51" s="4" t="n"/>
      <c r="I51" s="4" t="n"/>
      <c r="J51" s="4" t="n"/>
    </row>
    <row r="52">
      <c r="A52" s="18">
        <f>IF(F52&lt;&gt;"",ROW()-4,"")</f>
        <v/>
      </c>
      <c r="B52" s="15" t="n"/>
      <c r="C52" s="4" t="n"/>
      <c r="D52" s="4" t="n"/>
      <c r="E52" s="4" t="n"/>
      <c r="F52" s="16" t="n"/>
      <c r="G52" s="4" t="n"/>
      <c r="H52" s="4" t="n"/>
      <c r="I52" s="4" t="n"/>
      <c r="J52" s="4" t="n"/>
    </row>
    <row r="53">
      <c r="A53" s="14">
        <f>IF(F53&lt;&gt;"",ROW()-4,"")</f>
        <v/>
      </c>
      <c r="B53" s="15" t="n"/>
      <c r="C53" s="4" t="n"/>
      <c r="D53" s="4" t="n"/>
      <c r="E53" s="4" t="n"/>
      <c r="F53" s="16" t="n"/>
      <c r="G53" s="4" t="n"/>
      <c r="H53" s="4" t="n"/>
      <c r="I53" s="4" t="n"/>
      <c r="J53" s="4" t="n"/>
    </row>
    <row r="54">
      <c r="A54" s="18">
        <f>IF(F54&lt;&gt;"",ROW()-4,"")</f>
        <v/>
      </c>
      <c r="B54" s="15" t="n"/>
      <c r="C54" s="4" t="n"/>
      <c r="D54" s="4" t="n"/>
      <c r="E54" s="4" t="n"/>
      <c r="F54" s="16" t="n"/>
      <c r="G54" s="4" t="n"/>
      <c r="H54" s="4" t="n"/>
      <c r="I54" s="4" t="n"/>
      <c r="J54" s="4" t="n"/>
    </row>
    <row r="55">
      <c r="A55" s="14">
        <f>IF(F55&lt;&gt;"",ROW()-4,"")</f>
        <v/>
      </c>
      <c r="B55" s="15" t="n"/>
      <c r="C55" s="4" t="n"/>
      <c r="D55" s="4" t="n"/>
      <c r="E55" s="4" t="n"/>
      <c r="F55" s="16" t="n"/>
      <c r="G55" s="4" t="n"/>
      <c r="H55" s="4" t="n"/>
      <c r="I55" s="4" t="n"/>
      <c r="J55" s="4" t="n"/>
    </row>
    <row r="56">
      <c r="A56" s="18">
        <f>IF(F56&lt;&gt;"",ROW()-4,"")</f>
        <v/>
      </c>
      <c r="B56" s="15" t="n"/>
      <c r="C56" s="4" t="n"/>
      <c r="D56" s="4" t="n"/>
      <c r="E56" s="4" t="n"/>
      <c r="F56" s="16" t="n"/>
      <c r="G56" s="4" t="n"/>
      <c r="H56" s="4" t="n"/>
      <c r="I56" s="4" t="n"/>
      <c r="J56" s="4" t="n"/>
    </row>
    <row r="57">
      <c r="A57" s="14">
        <f>IF(F57&lt;&gt;"",ROW()-4,"")</f>
        <v/>
      </c>
      <c r="B57" s="15" t="n"/>
      <c r="C57" s="4" t="n"/>
      <c r="D57" s="4" t="n"/>
      <c r="E57" s="4" t="n"/>
      <c r="F57" s="16" t="n"/>
      <c r="G57" s="4" t="n"/>
      <c r="H57" s="4" t="n"/>
      <c r="I57" s="4" t="n"/>
      <c r="J57" s="4" t="n"/>
    </row>
    <row r="58">
      <c r="A58" s="18">
        <f>IF(F58&lt;&gt;"",ROW()-4,"")</f>
        <v/>
      </c>
      <c r="B58" s="15" t="n"/>
      <c r="C58" s="4" t="n"/>
      <c r="D58" s="4" t="n"/>
      <c r="E58" s="4" t="n"/>
      <c r="F58" s="16" t="n"/>
      <c r="G58" s="4" t="n"/>
      <c r="H58" s="4" t="n"/>
      <c r="I58" s="4" t="n"/>
      <c r="J58" s="4" t="n"/>
    </row>
    <row r="59">
      <c r="A59" s="14">
        <f>IF(F59&lt;&gt;"",ROW()-4,"")</f>
        <v/>
      </c>
      <c r="B59" s="15" t="n"/>
      <c r="C59" s="4" t="n"/>
      <c r="D59" s="4" t="n"/>
      <c r="E59" s="4" t="n"/>
      <c r="F59" s="16" t="n"/>
      <c r="G59" s="4" t="n"/>
      <c r="H59" s="4" t="n"/>
      <c r="I59" s="4" t="n"/>
      <c r="J59" s="4" t="n"/>
    </row>
    <row r="60">
      <c r="A60" s="18">
        <f>IF(F60&lt;&gt;"",ROW()-4,"")</f>
        <v/>
      </c>
      <c r="B60" s="15" t="n"/>
      <c r="C60" s="4" t="n"/>
      <c r="D60" s="4" t="n"/>
      <c r="E60" s="4" t="n"/>
      <c r="F60" s="16" t="n"/>
      <c r="G60" s="4" t="n"/>
      <c r="H60" s="4" t="n"/>
      <c r="I60" s="4" t="n"/>
      <c r="J60" s="4" t="n"/>
    </row>
    <row r="61">
      <c r="A61" s="14">
        <f>IF(F61&lt;&gt;"",ROW()-4,"")</f>
        <v/>
      </c>
      <c r="B61" s="15" t="n"/>
      <c r="C61" s="4" t="n"/>
      <c r="D61" s="4" t="n"/>
      <c r="E61" s="4" t="n"/>
      <c r="F61" s="16" t="n"/>
      <c r="G61" s="4" t="n"/>
      <c r="H61" s="4" t="n"/>
      <c r="I61" s="4" t="n"/>
      <c r="J61" s="4" t="n"/>
    </row>
    <row r="62">
      <c r="A62" s="18">
        <f>IF(F62&lt;&gt;"",ROW()-4,"")</f>
        <v/>
      </c>
      <c r="B62" s="15" t="n"/>
      <c r="C62" s="4" t="n"/>
      <c r="D62" s="4" t="n"/>
      <c r="E62" s="4" t="n"/>
      <c r="F62" s="16" t="n"/>
      <c r="G62" s="4" t="n"/>
      <c r="H62" s="4" t="n"/>
      <c r="I62" s="4" t="n"/>
      <c r="J62" s="4" t="n"/>
    </row>
    <row r="63">
      <c r="A63" s="14">
        <f>IF(F63&lt;&gt;"",ROW()-4,"")</f>
        <v/>
      </c>
      <c r="B63" s="15" t="n"/>
      <c r="C63" s="4" t="n"/>
      <c r="D63" s="4" t="n"/>
      <c r="E63" s="4" t="n"/>
      <c r="F63" s="16" t="n"/>
      <c r="G63" s="4" t="n"/>
      <c r="H63" s="4" t="n"/>
      <c r="I63" s="4" t="n"/>
      <c r="J63" s="4" t="n"/>
    </row>
    <row r="64">
      <c r="A64" s="18">
        <f>IF(F64&lt;&gt;"",ROW()-4,"")</f>
        <v/>
      </c>
      <c r="B64" s="15" t="n"/>
      <c r="C64" s="4" t="n"/>
      <c r="D64" s="4" t="n"/>
      <c r="E64" s="4" t="n"/>
      <c r="F64" s="16" t="n"/>
      <c r="G64" s="4" t="n"/>
      <c r="H64" s="4" t="n"/>
      <c r="I64" s="4" t="n"/>
      <c r="J64" s="4" t="n"/>
    </row>
    <row r="65">
      <c r="A65" s="14">
        <f>IF(F65&lt;&gt;"",ROW()-4,"")</f>
        <v/>
      </c>
      <c r="B65" s="15" t="n"/>
      <c r="C65" s="4" t="n"/>
      <c r="D65" s="4" t="n"/>
      <c r="E65" s="4" t="n"/>
      <c r="F65" s="16" t="n"/>
      <c r="G65" s="4" t="n"/>
      <c r="H65" s="4" t="n"/>
      <c r="I65" s="4" t="n"/>
      <c r="J65" s="4" t="n"/>
    </row>
    <row r="66">
      <c r="A66" s="18">
        <f>IF(F66&lt;&gt;"",ROW()-4,"")</f>
        <v/>
      </c>
      <c r="B66" s="15" t="n"/>
      <c r="C66" s="4" t="n"/>
      <c r="D66" s="4" t="n"/>
      <c r="E66" s="4" t="n"/>
      <c r="F66" s="16" t="n"/>
      <c r="G66" s="4" t="n"/>
      <c r="H66" s="4" t="n"/>
      <c r="I66" s="4" t="n"/>
      <c r="J66" s="4" t="n"/>
    </row>
    <row r="67">
      <c r="A67" s="14">
        <f>IF(F67&lt;&gt;"",ROW()-4,"")</f>
        <v/>
      </c>
      <c r="B67" s="15" t="n"/>
      <c r="C67" s="4" t="n"/>
      <c r="D67" s="4" t="n"/>
      <c r="E67" s="4" t="n"/>
      <c r="F67" s="16" t="n"/>
      <c r="G67" s="4" t="n"/>
      <c r="H67" s="4" t="n"/>
      <c r="I67" s="4" t="n"/>
      <c r="J67" s="4" t="n"/>
    </row>
    <row r="68">
      <c r="A68" s="18">
        <f>IF(F68&lt;&gt;"",ROW()-4,"")</f>
        <v/>
      </c>
      <c r="B68" s="15" t="n"/>
      <c r="C68" s="4" t="n"/>
      <c r="D68" s="4" t="n"/>
      <c r="E68" s="4" t="n"/>
      <c r="F68" s="16" t="n"/>
      <c r="G68" s="4" t="n"/>
      <c r="H68" s="4" t="n"/>
      <c r="I68" s="4" t="n"/>
      <c r="J68" s="4" t="n"/>
    </row>
    <row r="69">
      <c r="A69" s="14">
        <f>IF(F69&lt;&gt;"",ROW()-4,"")</f>
        <v/>
      </c>
      <c r="B69" s="15" t="n"/>
      <c r="C69" s="4" t="n"/>
      <c r="D69" s="4" t="n"/>
      <c r="E69" s="4" t="n"/>
      <c r="F69" s="16" t="n"/>
      <c r="G69" s="4" t="n"/>
      <c r="H69" s="4" t="n"/>
      <c r="I69" s="4" t="n"/>
      <c r="J69" s="4" t="n"/>
    </row>
    <row r="70">
      <c r="A70" s="18">
        <f>IF(F70&lt;&gt;"",ROW()-4,"")</f>
        <v/>
      </c>
      <c r="B70" s="15" t="n"/>
      <c r="C70" s="4" t="n"/>
      <c r="D70" s="4" t="n"/>
      <c r="E70" s="4" t="n"/>
      <c r="F70" s="16" t="n"/>
      <c r="G70" s="4" t="n"/>
      <c r="H70" s="4" t="n"/>
      <c r="I70" s="4" t="n"/>
      <c r="J70" s="4" t="n"/>
    </row>
    <row r="71">
      <c r="A71" s="14">
        <f>IF(F71&lt;&gt;"",ROW()-4,"")</f>
        <v/>
      </c>
      <c r="B71" s="15" t="n"/>
      <c r="C71" s="4" t="n"/>
      <c r="D71" s="4" t="n"/>
      <c r="E71" s="4" t="n"/>
      <c r="F71" s="16" t="n"/>
      <c r="G71" s="4" t="n"/>
      <c r="H71" s="4" t="n"/>
      <c r="I71" s="4" t="n"/>
      <c r="J71" s="4" t="n"/>
    </row>
    <row r="72">
      <c r="A72" s="18">
        <f>IF(F72&lt;&gt;"",ROW()-4,"")</f>
        <v/>
      </c>
      <c r="B72" s="15" t="n"/>
      <c r="C72" s="4" t="n"/>
      <c r="D72" s="4" t="n"/>
      <c r="E72" s="4" t="n"/>
      <c r="F72" s="16" t="n"/>
      <c r="G72" s="4" t="n"/>
      <c r="H72" s="4" t="n"/>
      <c r="I72" s="4" t="n"/>
      <c r="J72" s="4" t="n"/>
    </row>
    <row r="73">
      <c r="A73" s="14">
        <f>IF(F73&lt;&gt;"",ROW()-4,"")</f>
        <v/>
      </c>
      <c r="B73" s="15" t="n"/>
      <c r="C73" s="4" t="n"/>
      <c r="D73" s="4" t="n"/>
      <c r="E73" s="4" t="n"/>
      <c r="F73" s="16" t="n"/>
      <c r="G73" s="4" t="n"/>
      <c r="H73" s="4" t="n"/>
      <c r="I73" s="4" t="n"/>
      <c r="J73" s="4" t="n"/>
    </row>
    <row r="74">
      <c r="A74" s="18">
        <f>IF(F74&lt;&gt;"",ROW()-4,"")</f>
        <v/>
      </c>
      <c r="B74" s="15" t="n"/>
      <c r="C74" s="4" t="n"/>
      <c r="D74" s="4" t="n"/>
      <c r="E74" s="4" t="n"/>
      <c r="F74" s="16" t="n"/>
      <c r="G74" s="4" t="n"/>
      <c r="H74" s="4" t="n"/>
      <c r="I74" s="4" t="n"/>
      <c r="J74" s="4" t="n"/>
    </row>
    <row r="75">
      <c r="A75" s="14">
        <f>IF(F75&lt;&gt;"",ROW()-4,"")</f>
        <v/>
      </c>
      <c r="B75" s="15" t="n"/>
      <c r="C75" s="4" t="n"/>
      <c r="D75" s="4" t="n"/>
      <c r="E75" s="4" t="n"/>
      <c r="F75" s="16" t="n"/>
      <c r="G75" s="4" t="n"/>
      <c r="H75" s="4" t="n"/>
      <c r="I75" s="4" t="n"/>
      <c r="J75" s="4" t="n"/>
    </row>
    <row r="76">
      <c r="A76" s="18">
        <f>IF(F76&lt;&gt;"",ROW()-4,"")</f>
        <v/>
      </c>
      <c r="B76" s="15" t="n"/>
      <c r="C76" s="4" t="n"/>
      <c r="D76" s="4" t="n"/>
      <c r="E76" s="4" t="n"/>
      <c r="F76" s="16" t="n"/>
      <c r="G76" s="4" t="n"/>
      <c r="H76" s="4" t="n"/>
      <c r="I76" s="4" t="n"/>
      <c r="J76" s="4" t="n"/>
    </row>
    <row r="77">
      <c r="A77" s="14">
        <f>IF(F77&lt;&gt;"",ROW()-4,"")</f>
        <v/>
      </c>
      <c r="B77" s="15" t="n"/>
      <c r="C77" s="4" t="n"/>
      <c r="D77" s="4" t="n"/>
      <c r="E77" s="4" t="n"/>
      <c r="F77" s="16" t="n"/>
      <c r="G77" s="4" t="n"/>
      <c r="H77" s="4" t="n"/>
      <c r="I77" s="4" t="n"/>
      <c r="J77" s="4" t="n"/>
    </row>
    <row r="78">
      <c r="A78" s="18">
        <f>IF(F78&lt;&gt;"",ROW()-4,"")</f>
        <v/>
      </c>
      <c r="B78" s="15" t="n"/>
      <c r="C78" s="4" t="n"/>
      <c r="D78" s="4" t="n"/>
      <c r="E78" s="4" t="n"/>
      <c r="F78" s="16" t="n"/>
      <c r="G78" s="4" t="n"/>
      <c r="H78" s="4" t="n"/>
      <c r="I78" s="4" t="n"/>
      <c r="J78" s="4" t="n"/>
    </row>
    <row r="79">
      <c r="A79" s="14">
        <f>IF(F79&lt;&gt;"",ROW()-4,"")</f>
        <v/>
      </c>
      <c r="B79" s="15" t="n"/>
      <c r="C79" s="4" t="n"/>
      <c r="D79" s="4" t="n"/>
      <c r="E79" s="4" t="n"/>
      <c r="F79" s="16" t="n"/>
      <c r="G79" s="4" t="n"/>
      <c r="H79" s="4" t="n"/>
      <c r="I79" s="4" t="n"/>
      <c r="J79" s="4" t="n"/>
    </row>
    <row r="80">
      <c r="A80" s="18">
        <f>IF(F80&lt;&gt;"",ROW()-4,"")</f>
        <v/>
      </c>
      <c r="B80" s="15" t="n"/>
      <c r="C80" s="4" t="n"/>
      <c r="D80" s="4" t="n"/>
      <c r="E80" s="4" t="n"/>
      <c r="F80" s="16" t="n"/>
      <c r="G80" s="4" t="n"/>
      <c r="H80" s="4" t="n"/>
      <c r="I80" s="4" t="n"/>
      <c r="J80" s="4" t="n"/>
    </row>
    <row r="81">
      <c r="A81" s="14">
        <f>IF(F81&lt;&gt;"",ROW()-4,"")</f>
        <v/>
      </c>
      <c r="B81" s="15" t="n"/>
      <c r="C81" s="4" t="n"/>
      <c r="D81" s="4" t="n"/>
      <c r="E81" s="4" t="n"/>
      <c r="F81" s="16" t="n"/>
      <c r="G81" s="4" t="n"/>
      <c r="H81" s="4" t="n"/>
      <c r="I81" s="4" t="n"/>
      <c r="J81" s="4" t="n"/>
    </row>
    <row r="82">
      <c r="A82" s="18">
        <f>IF(F82&lt;&gt;"",ROW()-4,"")</f>
        <v/>
      </c>
      <c r="B82" s="15" t="n"/>
      <c r="C82" s="4" t="n"/>
      <c r="D82" s="4" t="n"/>
      <c r="E82" s="4" t="n"/>
      <c r="F82" s="16" t="n"/>
      <c r="G82" s="4" t="n"/>
      <c r="H82" s="4" t="n"/>
      <c r="I82" s="4" t="n"/>
      <c r="J82" s="4" t="n"/>
    </row>
    <row r="83">
      <c r="A83" s="14">
        <f>IF(F83&lt;&gt;"",ROW()-4,"")</f>
        <v/>
      </c>
      <c r="B83" s="15" t="n"/>
      <c r="C83" s="4" t="n"/>
      <c r="D83" s="4" t="n"/>
      <c r="E83" s="4" t="n"/>
      <c r="F83" s="16" t="n"/>
      <c r="G83" s="4" t="n"/>
      <c r="H83" s="4" t="n"/>
      <c r="I83" s="4" t="n"/>
      <c r="J83" s="4" t="n"/>
    </row>
    <row r="84">
      <c r="A84" s="18">
        <f>IF(F84&lt;&gt;"",ROW()-4,"")</f>
        <v/>
      </c>
      <c r="B84" s="15" t="n"/>
      <c r="C84" s="4" t="n"/>
      <c r="D84" s="4" t="n"/>
      <c r="E84" s="4" t="n"/>
      <c r="F84" s="16" t="n"/>
      <c r="G84" s="4" t="n"/>
      <c r="H84" s="4" t="n"/>
      <c r="I84" s="4" t="n"/>
      <c r="J84" s="4" t="n"/>
    </row>
    <row r="85">
      <c r="A85" s="14">
        <f>IF(F85&lt;&gt;"",ROW()-4,"")</f>
        <v/>
      </c>
      <c r="B85" s="15" t="n"/>
      <c r="C85" s="4" t="n"/>
      <c r="D85" s="4" t="n"/>
      <c r="E85" s="4" t="n"/>
      <c r="F85" s="16" t="n"/>
      <c r="G85" s="4" t="n"/>
      <c r="H85" s="4" t="n"/>
      <c r="I85" s="4" t="n"/>
      <c r="J85" s="4" t="n"/>
    </row>
    <row r="86">
      <c r="A86" s="18">
        <f>IF(F86&lt;&gt;"",ROW()-4,"")</f>
        <v/>
      </c>
      <c r="B86" s="15" t="n"/>
      <c r="C86" s="4" t="n"/>
      <c r="D86" s="4" t="n"/>
      <c r="E86" s="4" t="n"/>
      <c r="F86" s="16" t="n"/>
      <c r="G86" s="4" t="n"/>
      <c r="H86" s="4" t="n"/>
      <c r="I86" s="4" t="n"/>
      <c r="J86" s="4" t="n"/>
    </row>
    <row r="87">
      <c r="A87" s="14">
        <f>IF(F87&lt;&gt;"",ROW()-4,"")</f>
        <v/>
      </c>
      <c r="B87" s="15" t="n"/>
      <c r="C87" s="4" t="n"/>
      <c r="D87" s="4" t="n"/>
      <c r="E87" s="4" t="n"/>
      <c r="F87" s="16" t="n"/>
      <c r="G87" s="4" t="n"/>
      <c r="H87" s="4" t="n"/>
      <c r="I87" s="4" t="n"/>
      <c r="J87" s="4" t="n"/>
    </row>
    <row r="88">
      <c r="A88" s="18">
        <f>IF(F88&lt;&gt;"",ROW()-4,"")</f>
        <v/>
      </c>
      <c r="B88" s="15" t="n"/>
      <c r="C88" s="4" t="n"/>
      <c r="D88" s="4" t="n"/>
      <c r="E88" s="4" t="n"/>
      <c r="F88" s="16" t="n"/>
      <c r="G88" s="4" t="n"/>
      <c r="H88" s="4" t="n"/>
      <c r="I88" s="4" t="n"/>
      <c r="J88" s="4" t="n"/>
    </row>
    <row r="89">
      <c r="A89" s="14">
        <f>IF(F89&lt;&gt;"",ROW()-4,"")</f>
        <v/>
      </c>
      <c r="B89" s="15" t="n"/>
      <c r="C89" s="4" t="n"/>
      <c r="D89" s="4" t="n"/>
      <c r="E89" s="4" t="n"/>
      <c r="F89" s="16" t="n"/>
      <c r="G89" s="4" t="n"/>
      <c r="H89" s="4" t="n"/>
      <c r="I89" s="4" t="n"/>
      <c r="J89" s="4" t="n"/>
    </row>
    <row r="90">
      <c r="A90" s="18">
        <f>IF(F90&lt;&gt;"",ROW()-4,"")</f>
        <v/>
      </c>
      <c r="B90" s="15" t="n"/>
      <c r="C90" s="4" t="n"/>
      <c r="D90" s="4" t="n"/>
      <c r="E90" s="4" t="n"/>
      <c r="F90" s="16" t="n"/>
      <c r="G90" s="4" t="n"/>
      <c r="H90" s="4" t="n"/>
      <c r="I90" s="4" t="n"/>
      <c r="J90" s="4" t="n"/>
    </row>
    <row r="91">
      <c r="A91" s="14">
        <f>IF(F91&lt;&gt;"",ROW()-4,"")</f>
        <v/>
      </c>
      <c r="B91" s="15" t="n"/>
      <c r="C91" s="4" t="n"/>
      <c r="D91" s="4" t="n"/>
      <c r="E91" s="4" t="n"/>
      <c r="F91" s="16" t="n"/>
      <c r="G91" s="4" t="n"/>
      <c r="H91" s="4" t="n"/>
      <c r="I91" s="4" t="n"/>
      <c r="J91" s="4" t="n"/>
    </row>
    <row r="92">
      <c r="A92" s="18">
        <f>IF(F92&lt;&gt;"",ROW()-4,"")</f>
        <v/>
      </c>
      <c r="B92" s="15" t="n"/>
      <c r="C92" s="4" t="n"/>
      <c r="D92" s="4" t="n"/>
      <c r="E92" s="4" t="n"/>
      <c r="F92" s="16" t="n"/>
      <c r="G92" s="4" t="n"/>
      <c r="H92" s="4" t="n"/>
      <c r="I92" s="4" t="n"/>
      <c r="J92" s="4" t="n"/>
    </row>
    <row r="93">
      <c r="A93" s="14">
        <f>IF(F93&lt;&gt;"",ROW()-4,"")</f>
        <v/>
      </c>
      <c r="B93" s="15" t="n"/>
      <c r="C93" s="4" t="n"/>
      <c r="D93" s="4" t="n"/>
      <c r="E93" s="4" t="n"/>
      <c r="F93" s="16" t="n"/>
      <c r="G93" s="4" t="n"/>
      <c r="H93" s="4" t="n"/>
      <c r="I93" s="4" t="n"/>
      <c r="J93" s="4" t="n"/>
    </row>
    <row r="94">
      <c r="A94" s="18">
        <f>IF(F94&lt;&gt;"",ROW()-4,"")</f>
        <v/>
      </c>
      <c r="B94" s="15" t="n"/>
      <c r="C94" s="4" t="n"/>
      <c r="D94" s="4" t="n"/>
      <c r="E94" s="4" t="n"/>
      <c r="F94" s="16" t="n"/>
      <c r="G94" s="4" t="n"/>
      <c r="H94" s="4" t="n"/>
      <c r="I94" s="4" t="n"/>
      <c r="J94" s="4" t="n"/>
    </row>
    <row r="95">
      <c r="A95" s="14">
        <f>IF(F95&lt;&gt;"",ROW()-4,"")</f>
        <v/>
      </c>
      <c r="B95" s="15" t="n"/>
      <c r="C95" s="4" t="n"/>
      <c r="D95" s="4" t="n"/>
      <c r="E95" s="4" t="n"/>
      <c r="F95" s="16" t="n"/>
      <c r="G95" s="4" t="n"/>
      <c r="H95" s="4" t="n"/>
      <c r="I95" s="4" t="n"/>
      <c r="J95" s="4" t="n"/>
    </row>
    <row r="96">
      <c r="A96" s="18">
        <f>IF(F96&lt;&gt;"",ROW()-4,"")</f>
        <v/>
      </c>
      <c r="B96" s="15" t="n"/>
      <c r="C96" s="4" t="n"/>
      <c r="D96" s="4" t="n"/>
      <c r="E96" s="4" t="n"/>
      <c r="F96" s="16" t="n"/>
      <c r="G96" s="4" t="n"/>
      <c r="H96" s="4" t="n"/>
      <c r="I96" s="4" t="n"/>
      <c r="J96" s="4" t="n"/>
    </row>
    <row r="97">
      <c r="A97" s="14">
        <f>IF(F97&lt;&gt;"",ROW()-4,"")</f>
        <v/>
      </c>
      <c r="B97" s="15" t="n"/>
      <c r="C97" s="4" t="n"/>
      <c r="D97" s="4" t="n"/>
      <c r="E97" s="4" t="n"/>
      <c r="F97" s="16" t="n"/>
      <c r="G97" s="4" t="n"/>
      <c r="H97" s="4" t="n"/>
      <c r="I97" s="4" t="n"/>
      <c r="J97" s="4" t="n"/>
    </row>
    <row r="98">
      <c r="A98" s="18">
        <f>IF(F98&lt;&gt;"",ROW()-4,"")</f>
        <v/>
      </c>
      <c r="B98" s="15" t="n"/>
      <c r="C98" s="4" t="n"/>
      <c r="D98" s="4" t="n"/>
      <c r="E98" s="4" t="n"/>
      <c r="F98" s="16" t="n"/>
      <c r="G98" s="4" t="n"/>
      <c r="H98" s="4" t="n"/>
      <c r="I98" s="4" t="n"/>
      <c r="J98" s="4" t="n"/>
    </row>
    <row r="99">
      <c r="A99" s="14">
        <f>IF(F99&lt;&gt;"",ROW()-4,"")</f>
        <v/>
      </c>
      <c r="B99" s="15" t="n"/>
      <c r="C99" s="4" t="n"/>
      <c r="D99" s="4" t="n"/>
      <c r="E99" s="4" t="n"/>
      <c r="F99" s="16" t="n"/>
      <c r="G99" s="4" t="n"/>
      <c r="H99" s="4" t="n"/>
      <c r="I99" s="4" t="n"/>
      <c r="J99" s="4" t="n"/>
    </row>
    <row r="100">
      <c r="A100" s="18">
        <f>IF(F100&lt;&gt;"",ROW()-4,"")</f>
        <v/>
      </c>
      <c r="B100" s="15" t="n"/>
      <c r="C100" s="4" t="n"/>
      <c r="D100" s="4" t="n"/>
      <c r="E100" s="4" t="n"/>
      <c r="F100" s="16" t="n"/>
      <c r="G100" s="4" t="n"/>
      <c r="H100" s="4" t="n"/>
      <c r="I100" s="4" t="n"/>
      <c r="J100" s="4" t="n"/>
    </row>
    <row r="101">
      <c r="A101" s="14">
        <f>IF(F101&lt;&gt;"",ROW()-4,"")</f>
        <v/>
      </c>
      <c r="B101" s="15" t="n"/>
      <c r="C101" s="4" t="n"/>
      <c r="D101" s="4" t="n"/>
      <c r="E101" s="4" t="n"/>
      <c r="F101" s="16" t="n"/>
      <c r="G101" s="4" t="n"/>
      <c r="H101" s="4" t="n"/>
      <c r="I101" s="4" t="n"/>
      <c r="J101" s="4" t="n"/>
    </row>
    <row r="102">
      <c r="A102" s="18">
        <f>IF(F102&lt;&gt;"",ROW()-4,"")</f>
        <v/>
      </c>
      <c r="B102" s="15" t="n"/>
      <c r="C102" s="4" t="n"/>
      <c r="D102" s="4" t="n"/>
      <c r="E102" s="4" t="n"/>
      <c r="F102" s="16" t="n"/>
      <c r="G102" s="4" t="n"/>
      <c r="H102" s="4" t="n"/>
      <c r="I102" s="4" t="n"/>
      <c r="J102" s="4" t="n"/>
    </row>
    <row r="103">
      <c r="A103" s="14">
        <f>IF(F103&lt;&gt;"",ROW()-4,"")</f>
        <v/>
      </c>
      <c r="B103" s="15" t="n"/>
      <c r="C103" s="4" t="n"/>
      <c r="D103" s="4" t="n"/>
      <c r="E103" s="4" t="n"/>
      <c r="F103" s="16" t="n"/>
      <c r="G103" s="4" t="n"/>
      <c r="H103" s="4" t="n"/>
      <c r="I103" s="4" t="n"/>
      <c r="J103" s="4" t="n"/>
    </row>
    <row r="104">
      <c r="A104" s="18">
        <f>IF(F104&lt;&gt;"",ROW()-4,"")</f>
        <v/>
      </c>
      <c r="B104" s="15" t="n"/>
      <c r="C104" s="4" t="n"/>
      <c r="D104" s="4" t="n"/>
      <c r="E104" s="4" t="n"/>
      <c r="F104" s="16" t="n"/>
      <c r="G104" s="4" t="n"/>
      <c r="H104" s="4" t="n"/>
      <c r="I104" s="4" t="n"/>
      <c r="J104" s="4" t="n"/>
    </row>
    <row r="105">
      <c r="A105" s="14">
        <f>IF(F105&lt;&gt;"",ROW()-4,"")</f>
        <v/>
      </c>
      <c r="B105" s="15" t="n"/>
      <c r="C105" s="4" t="n"/>
      <c r="D105" s="4" t="n"/>
      <c r="E105" s="4" t="n"/>
      <c r="F105" s="16" t="n"/>
      <c r="G105" s="4" t="n"/>
      <c r="H105" s="4" t="n"/>
      <c r="I105" s="4" t="n"/>
      <c r="J105" s="4" t="n"/>
    </row>
    <row r="106">
      <c r="A106" s="18">
        <f>IF(F106&lt;&gt;"",ROW()-4,"")</f>
        <v/>
      </c>
      <c r="B106" s="15" t="n"/>
      <c r="C106" s="4" t="n"/>
      <c r="D106" s="4" t="n"/>
      <c r="E106" s="4" t="n"/>
      <c r="F106" s="16" t="n"/>
      <c r="G106" s="4" t="n"/>
      <c r="H106" s="4" t="n"/>
      <c r="I106" s="4" t="n"/>
      <c r="J106" s="4" t="n"/>
    </row>
    <row r="107">
      <c r="A107" s="14">
        <f>IF(F107&lt;&gt;"",ROW()-4,"")</f>
        <v/>
      </c>
      <c r="B107" s="15" t="n"/>
      <c r="C107" s="4" t="n"/>
      <c r="D107" s="4" t="n"/>
      <c r="E107" s="4" t="n"/>
      <c r="F107" s="16" t="n"/>
      <c r="G107" s="4" t="n"/>
      <c r="H107" s="4" t="n"/>
      <c r="I107" s="4" t="n"/>
      <c r="J107" s="4" t="n"/>
    </row>
    <row r="108">
      <c r="A108" s="18">
        <f>IF(F108&lt;&gt;"",ROW()-4,"")</f>
        <v/>
      </c>
      <c r="B108" s="15" t="n"/>
      <c r="C108" s="4" t="n"/>
      <c r="D108" s="4" t="n"/>
      <c r="E108" s="4" t="n"/>
      <c r="F108" s="16" t="n"/>
      <c r="G108" s="4" t="n"/>
      <c r="H108" s="4" t="n"/>
      <c r="I108" s="4" t="n"/>
      <c r="J108" s="4" t="n"/>
    </row>
    <row r="109">
      <c r="A109" s="14">
        <f>IF(F109&lt;&gt;"",ROW()-4,"")</f>
        <v/>
      </c>
      <c r="B109" s="15" t="n"/>
      <c r="C109" s="4" t="n"/>
      <c r="D109" s="4" t="n"/>
      <c r="E109" s="4" t="n"/>
      <c r="F109" s="16" t="n"/>
      <c r="G109" s="4" t="n"/>
      <c r="H109" s="4" t="n"/>
      <c r="I109" s="4" t="n"/>
      <c r="J109" s="4" t="n"/>
    </row>
    <row r="110">
      <c r="A110" s="18">
        <f>IF(F110&lt;&gt;"",ROW()-4,"")</f>
        <v/>
      </c>
      <c r="B110" s="15" t="n"/>
      <c r="C110" s="4" t="n"/>
      <c r="D110" s="4" t="n"/>
      <c r="E110" s="4" t="n"/>
      <c r="F110" s="16" t="n"/>
      <c r="G110" s="4" t="n"/>
      <c r="H110" s="4" t="n"/>
      <c r="I110" s="4" t="n"/>
      <c r="J110" s="4" t="n"/>
    </row>
    <row r="111">
      <c r="A111" s="14">
        <f>IF(F111&lt;&gt;"",ROW()-4,"")</f>
        <v/>
      </c>
      <c r="B111" s="15" t="n"/>
      <c r="C111" s="4" t="n"/>
      <c r="D111" s="4" t="n"/>
      <c r="E111" s="4" t="n"/>
      <c r="F111" s="16" t="n"/>
      <c r="G111" s="4" t="n"/>
      <c r="H111" s="4" t="n"/>
      <c r="I111" s="4" t="n"/>
      <c r="J111" s="4" t="n"/>
    </row>
    <row r="112">
      <c r="A112" s="18">
        <f>IF(F112&lt;&gt;"",ROW()-4,"")</f>
        <v/>
      </c>
      <c r="B112" s="15" t="n"/>
      <c r="C112" s="4" t="n"/>
      <c r="D112" s="4" t="n"/>
      <c r="E112" s="4" t="n"/>
      <c r="F112" s="16" t="n"/>
      <c r="G112" s="4" t="n"/>
      <c r="H112" s="4" t="n"/>
      <c r="I112" s="4" t="n"/>
      <c r="J112" s="4" t="n"/>
    </row>
    <row r="113">
      <c r="A113" s="14">
        <f>IF(F113&lt;&gt;"",ROW()-4,"")</f>
        <v/>
      </c>
      <c r="B113" s="15" t="n"/>
      <c r="C113" s="4" t="n"/>
      <c r="D113" s="4" t="n"/>
      <c r="E113" s="4" t="n"/>
      <c r="F113" s="16" t="n"/>
      <c r="G113" s="4" t="n"/>
      <c r="H113" s="4" t="n"/>
      <c r="I113" s="4" t="n"/>
      <c r="J113" s="4" t="n"/>
    </row>
    <row r="114">
      <c r="A114" s="18">
        <f>IF(F114&lt;&gt;"",ROW()-4,"")</f>
        <v/>
      </c>
      <c r="B114" s="15" t="n"/>
      <c r="C114" s="4" t="n"/>
      <c r="D114" s="4" t="n"/>
      <c r="E114" s="4" t="n"/>
      <c r="F114" s="16" t="n"/>
      <c r="G114" s="4" t="n"/>
      <c r="H114" s="4" t="n"/>
      <c r="I114" s="4" t="n"/>
      <c r="J114" s="4" t="n"/>
    </row>
    <row r="115">
      <c r="A115" s="14">
        <f>IF(F115&lt;&gt;"",ROW()-4,"")</f>
        <v/>
      </c>
      <c r="B115" s="15" t="n"/>
      <c r="C115" s="4" t="n"/>
      <c r="D115" s="4" t="n"/>
      <c r="E115" s="4" t="n"/>
      <c r="F115" s="16" t="n"/>
      <c r="G115" s="4" t="n"/>
      <c r="H115" s="4" t="n"/>
      <c r="I115" s="4" t="n"/>
      <c r="J115" s="4" t="n"/>
    </row>
    <row r="116">
      <c r="A116" s="18">
        <f>IF(F116&lt;&gt;"",ROW()-4,"")</f>
        <v/>
      </c>
      <c r="B116" s="15" t="n"/>
      <c r="C116" s="4" t="n"/>
      <c r="D116" s="4" t="n"/>
      <c r="E116" s="4" t="n"/>
      <c r="F116" s="16" t="n"/>
      <c r="G116" s="4" t="n"/>
      <c r="H116" s="4" t="n"/>
      <c r="I116" s="4" t="n"/>
      <c r="J116" s="4" t="n"/>
    </row>
    <row r="117">
      <c r="A117" s="14">
        <f>IF(F117&lt;&gt;"",ROW()-4,"")</f>
        <v/>
      </c>
      <c r="B117" s="15" t="n"/>
      <c r="C117" s="4" t="n"/>
      <c r="D117" s="4" t="n"/>
      <c r="E117" s="4" t="n"/>
      <c r="F117" s="16" t="n"/>
      <c r="G117" s="4" t="n"/>
      <c r="H117" s="4" t="n"/>
      <c r="I117" s="4" t="n"/>
      <c r="J117" s="4" t="n"/>
    </row>
    <row r="118">
      <c r="A118" s="18">
        <f>IF(F118&lt;&gt;"",ROW()-4,"")</f>
        <v/>
      </c>
      <c r="B118" s="15" t="n"/>
      <c r="C118" s="4" t="n"/>
      <c r="D118" s="4" t="n"/>
      <c r="E118" s="4" t="n"/>
      <c r="F118" s="16" t="n"/>
      <c r="G118" s="4" t="n"/>
      <c r="H118" s="4" t="n"/>
      <c r="I118" s="4" t="n"/>
      <c r="J118" s="4" t="n"/>
    </row>
    <row r="119">
      <c r="A119" s="14">
        <f>IF(F119&lt;&gt;"",ROW()-4,"")</f>
        <v/>
      </c>
      <c r="B119" s="15" t="n"/>
      <c r="C119" s="4" t="n"/>
      <c r="D119" s="4" t="n"/>
      <c r="E119" s="4" t="n"/>
      <c r="F119" s="16" t="n"/>
      <c r="G119" s="4" t="n"/>
      <c r="H119" s="4" t="n"/>
      <c r="I119" s="4" t="n"/>
      <c r="J119" s="4" t="n"/>
    </row>
    <row r="120">
      <c r="A120" s="18">
        <f>IF(F120&lt;&gt;"",ROW()-4,"")</f>
        <v/>
      </c>
      <c r="B120" s="15" t="n"/>
      <c r="C120" s="4" t="n"/>
      <c r="D120" s="4" t="n"/>
      <c r="E120" s="4" t="n"/>
      <c r="F120" s="16" t="n"/>
      <c r="G120" s="4" t="n"/>
      <c r="H120" s="4" t="n"/>
      <c r="I120" s="4" t="n"/>
      <c r="J120" s="4" t="n"/>
    </row>
    <row r="121">
      <c r="A121" s="14">
        <f>IF(F121&lt;&gt;"",ROW()-4,"")</f>
        <v/>
      </c>
      <c r="B121" s="15" t="n"/>
      <c r="C121" s="4" t="n"/>
      <c r="D121" s="4" t="n"/>
      <c r="E121" s="4" t="n"/>
      <c r="F121" s="16" t="n"/>
      <c r="G121" s="4" t="n"/>
      <c r="H121" s="4" t="n"/>
      <c r="I121" s="4" t="n"/>
      <c r="J121" s="4" t="n"/>
    </row>
    <row r="122">
      <c r="A122" s="18">
        <f>IF(F122&lt;&gt;"",ROW()-4,"")</f>
        <v/>
      </c>
      <c r="B122" s="15" t="n"/>
      <c r="C122" s="4" t="n"/>
      <c r="D122" s="4" t="n"/>
      <c r="E122" s="4" t="n"/>
      <c r="F122" s="16" t="n"/>
      <c r="G122" s="4" t="n"/>
      <c r="H122" s="4" t="n"/>
      <c r="I122" s="4" t="n"/>
      <c r="J122" s="4" t="n"/>
    </row>
    <row r="123">
      <c r="A123" s="14">
        <f>IF(F123&lt;&gt;"",ROW()-4,"")</f>
        <v/>
      </c>
      <c r="B123" s="15" t="n"/>
      <c r="C123" s="4" t="n"/>
      <c r="D123" s="4" t="n"/>
      <c r="E123" s="4" t="n"/>
      <c r="F123" s="16" t="n"/>
      <c r="G123" s="4" t="n"/>
      <c r="H123" s="4" t="n"/>
      <c r="I123" s="4" t="n"/>
      <c r="J123" s="4" t="n"/>
    </row>
    <row r="124">
      <c r="A124" s="18">
        <f>IF(F124&lt;&gt;"",ROW()-4,"")</f>
        <v/>
      </c>
      <c r="B124" s="15" t="n"/>
      <c r="C124" s="4" t="n"/>
      <c r="D124" s="4" t="n"/>
      <c r="E124" s="4" t="n"/>
      <c r="F124" s="16" t="n"/>
      <c r="G124" s="4" t="n"/>
      <c r="H124" s="4" t="n"/>
      <c r="I124" s="4" t="n"/>
      <c r="J124" s="4" t="n"/>
    </row>
    <row r="125">
      <c r="A125" s="14">
        <f>IF(F125&lt;&gt;"",ROW()-4,"")</f>
        <v/>
      </c>
      <c r="B125" s="15" t="n"/>
      <c r="C125" s="4" t="n"/>
      <c r="D125" s="4" t="n"/>
      <c r="E125" s="4" t="n"/>
      <c r="F125" s="16" t="n"/>
      <c r="G125" s="4" t="n"/>
      <c r="H125" s="4" t="n"/>
      <c r="I125" s="4" t="n"/>
      <c r="J125" s="4" t="n"/>
    </row>
    <row r="126">
      <c r="A126" s="18">
        <f>IF(F126&lt;&gt;"",ROW()-4,"")</f>
        <v/>
      </c>
      <c r="B126" s="15" t="n"/>
      <c r="C126" s="4" t="n"/>
      <c r="D126" s="4" t="n"/>
      <c r="E126" s="4" t="n"/>
      <c r="F126" s="16" t="n"/>
      <c r="G126" s="4" t="n"/>
      <c r="H126" s="4" t="n"/>
      <c r="I126" s="4" t="n"/>
      <c r="J126" s="4" t="n"/>
    </row>
    <row r="127">
      <c r="A127" s="14">
        <f>IF(F127&lt;&gt;"",ROW()-4,"")</f>
        <v/>
      </c>
      <c r="B127" s="15" t="n"/>
      <c r="C127" s="4" t="n"/>
      <c r="D127" s="4" t="n"/>
      <c r="E127" s="4" t="n"/>
      <c r="F127" s="16" t="n"/>
      <c r="G127" s="4" t="n"/>
      <c r="H127" s="4" t="n"/>
      <c r="I127" s="4" t="n"/>
      <c r="J127" s="4" t="n"/>
    </row>
    <row r="128">
      <c r="A128" s="18">
        <f>IF(F128&lt;&gt;"",ROW()-4,"")</f>
        <v/>
      </c>
      <c r="B128" s="15" t="n"/>
      <c r="C128" s="4" t="n"/>
      <c r="D128" s="4" t="n"/>
      <c r="E128" s="4" t="n"/>
      <c r="F128" s="16" t="n"/>
      <c r="G128" s="4" t="n"/>
      <c r="H128" s="4" t="n"/>
      <c r="I128" s="4" t="n"/>
      <c r="J128" s="4" t="n"/>
    </row>
    <row r="129">
      <c r="A129" s="14">
        <f>IF(F129&lt;&gt;"",ROW()-4,"")</f>
        <v/>
      </c>
      <c r="B129" s="15" t="n"/>
      <c r="C129" s="4" t="n"/>
      <c r="D129" s="4" t="n"/>
      <c r="E129" s="4" t="n"/>
      <c r="F129" s="16" t="n"/>
      <c r="G129" s="4" t="n"/>
      <c r="H129" s="4" t="n"/>
      <c r="I129" s="4" t="n"/>
      <c r="J129" s="4" t="n"/>
    </row>
    <row r="130">
      <c r="A130" s="18">
        <f>IF(F130&lt;&gt;"",ROW()-4,"")</f>
        <v/>
      </c>
      <c r="B130" s="15" t="n"/>
      <c r="C130" s="4" t="n"/>
      <c r="D130" s="4" t="n"/>
      <c r="E130" s="4" t="n"/>
      <c r="F130" s="16" t="n"/>
      <c r="G130" s="4" t="n"/>
      <c r="H130" s="4" t="n"/>
      <c r="I130" s="4" t="n"/>
      <c r="J130" s="4" t="n"/>
    </row>
    <row r="131">
      <c r="A131" s="14">
        <f>IF(F131&lt;&gt;"",ROW()-4,"")</f>
        <v/>
      </c>
      <c r="B131" s="15" t="n"/>
      <c r="C131" s="4" t="n"/>
      <c r="D131" s="4" t="n"/>
      <c r="E131" s="4" t="n"/>
      <c r="F131" s="16" t="n"/>
      <c r="G131" s="4" t="n"/>
      <c r="H131" s="4" t="n"/>
      <c r="I131" s="4" t="n"/>
      <c r="J131" s="4" t="n"/>
    </row>
    <row r="132">
      <c r="A132" s="18">
        <f>IF(F132&lt;&gt;"",ROW()-4,"")</f>
        <v/>
      </c>
      <c r="B132" s="15" t="n"/>
      <c r="C132" s="4" t="n"/>
      <c r="D132" s="4" t="n"/>
      <c r="E132" s="4" t="n"/>
      <c r="F132" s="16" t="n"/>
      <c r="G132" s="4" t="n"/>
      <c r="H132" s="4" t="n"/>
      <c r="I132" s="4" t="n"/>
      <c r="J132" s="4" t="n"/>
    </row>
    <row r="133">
      <c r="A133" s="14">
        <f>IF(F133&lt;&gt;"",ROW()-4,"")</f>
        <v/>
      </c>
      <c r="B133" s="15" t="n"/>
      <c r="C133" s="4" t="n"/>
      <c r="D133" s="4" t="n"/>
      <c r="E133" s="4" t="n"/>
      <c r="F133" s="16" t="n"/>
      <c r="G133" s="4" t="n"/>
      <c r="H133" s="4" t="n"/>
      <c r="I133" s="4" t="n"/>
      <c r="J133" s="4" t="n"/>
    </row>
    <row r="134">
      <c r="A134" s="18">
        <f>IF(F134&lt;&gt;"",ROW()-4,"")</f>
        <v/>
      </c>
      <c r="B134" s="15" t="n"/>
      <c r="C134" s="4" t="n"/>
      <c r="D134" s="4" t="n"/>
      <c r="E134" s="4" t="n"/>
      <c r="F134" s="16" t="n"/>
      <c r="G134" s="4" t="n"/>
      <c r="H134" s="4" t="n"/>
      <c r="I134" s="4" t="n"/>
      <c r="J134" s="4" t="n"/>
    </row>
    <row r="135">
      <c r="A135" s="14">
        <f>IF(F135&lt;&gt;"",ROW()-4,"")</f>
        <v/>
      </c>
      <c r="B135" s="15" t="n"/>
      <c r="C135" s="4" t="n"/>
      <c r="D135" s="4" t="n"/>
      <c r="E135" s="4" t="n"/>
      <c r="F135" s="16" t="n"/>
      <c r="G135" s="4" t="n"/>
      <c r="H135" s="4" t="n"/>
      <c r="I135" s="4" t="n"/>
      <c r="J135" s="4" t="n"/>
    </row>
    <row r="136">
      <c r="A136" s="18">
        <f>IF(F136&lt;&gt;"",ROW()-4,"")</f>
        <v/>
      </c>
      <c r="B136" s="15" t="n"/>
      <c r="C136" s="4" t="n"/>
      <c r="D136" s="4" t="n"/>
      <c r="E136" s="4" t="n"/>
      <c r="F136" s="16" t="n"/>
      <c r="G136" s="4" t="n"/>
      <c r="H136" s="4" t="n"/>
      <c r="I136" s="4" t="n"/>
      <c r="J136" s="4" t="n"/>
    </row>
    <row r="137">
      <c r="A137" s="14">
        <f>IF(F137&lt;&gt;"",ROW()-4,"")</f>
        <v/>
      </c>
      <c r="B137" s="15" t="n"/>
      <c r="C137" s="4" t="n"/>
      <c r="D137" s="4" t="n"/>
      <c r="E137" s="4" t="n"/>
      <c r="F137" s="16" t="n"/>
      <c r="G137" s="4" t="n"/>
      <c r="H137" s="4" t="n"/>
      <c r="I137" s="4" t="n"/>
      <c r="J137" s="4" t="n"/>
    </row>
    <row r="138">
      <c r="A138" s="18">
        <f>IF(F138&lt;&gt;"",ROW()-4,"")</f>
        <v/>
      </c>
      <c r="B138" s="15" t="n"/>
      <c r="C138" s="4" t="n"/>
      <c r="D138" s="4" t="n"/>
      <c r="E138" s="4" t="n"/>
      <c r="F138" s="16" t="n"/>
      <c r="G138" s="4" t="n"/>
      <c r="H138" s="4" t="n"/>
      <c r="I138" s="4" t="n"/>
      <c r="J138" s="4" t="n"/>
    </row>
    <row r="139">
      <c r="A139" s="14">
        <f>IF(F139&lt;&gt;"",ROW()-4,"")</f>
        <v/>
      </c>
      <c r="B139" s="15" t="n"/>
      <c r="C139" s="4" t="n"/>
      <c r="D139" s="4" t="n"/>
      <c r="E139" s="4" t="n"/>
      <c r="F139" s="16" t="n"/>
      <c r="G139" s="4" t="n"/>
      <c r="H139" s="4" t="n"/>
      <c r="I139" s="4" t="n"/>
      <c r="J139" s="4" t="n"/>
    </row>
    <row r="140">
      <c r="A140" s="18">
        <f>IF(F140&lt;&gt;"",ROW()-4,"")</f>
        <v/>
      </c>
      <c r="B140" s="15" t="n"/>
      <c r="C140" s="4" t="n"/>
      <c r="D140" s="4" t="n"/>
      <c r="E140" s="4" t="n"/>
      <c r="F140" s="16" t="n"/>
      <c r="G140" s="4" t="n"/>
      <c r="H140" s="4" t="n"/>
      <c r="I140" s="4" t="n"/>
      <c r="J140" s="4" t="n"/>
    </row>
    <row r="141">
      <c r="A141" s="14">
        <f>IF(F141&lt;&gt;"",ROW()-4,"")</f>
        <v/>
      </c>
      <c r="B141" s="15" t="n"/>
      <c r="C141" s="4" t="n"/>
      <c r="D141" s="4" t="n"/>
      <c r="E141" s="4" t="n"/>
      <c r="F141" s="16" t="n"/>
      <c r="G141" s="4" t="n"/>
      <c r="H141" s="4" t="n"/>
      <c r="I141" s="4" t="n"/>
      <c r="J141" s="4" t="n"/>
    </row>
    <row r="142">
      <c r="A142" s="18">
        <f>IF(F142&lt;&gt;"",ROW()-4,"")</f>
        <v/>
      </c>
      <c r="B142" s="15" t="n"/>
      <c r="C142" s="4" t="n"/>
      <c r="D142" s="4" t="n"/>
      <c r="E142" s="4" t="n"/>
      <c r="F142" s="16" t="n"/>
      <c r="G142" s="4" t="n"/>
      <c r="H142" s="4" t="n"/>
      <c r="I142" s="4" t="n"/>
      <c r="J142" s="4" t="n"/>
    </row>
    <row r="143">
      <c r="A143" s="14">
        <f>IF(F143&lt;&gt;"",ROW()-4,"")</f>
        <v/>
      </c>
      <c r="B143" s="15" t="n"/>
      <c r="C143" s="4" t="n"/>
      <c r="D143" s="4" t="n"/>
      <c r="E143" s="4" t="n"/>
      <c r="F143" s="16" t="n"/>
      <c r="G143" s="4" t="n"/>
      <c r="H143" s="4" t="n"/>
      <c r="I143" s="4" t="n"/>
      <c r="J143" s="4" t="n"/>
    </row>
    <row r="144">
      <c r="A144" s="18">
        <f>IF(F144&lt;&gt;"",ROW()-4,"")</f>
        <v/>
      </c>
      <c r="B144" s="15" t="n"/>
      <c r="C144" s="4" t="n"/>
      <c r="D144" s="4" t="n"/>
      <c r="E144" s="4" t="n"/>
      <c r="F144" s="16" t="n"/>
      <c r="G144" s="4" t="n"/>
      <c r="H144" s="4" t="n"/>
      <c r="I144" s="4" t="n"/>
      <c r="J144" s="4" t="n"/>
    </row>
    <row r="145">
      <c r="A145" s="14">
        <f>IF(F145&lt;&gt;"",ROW()-4,"")</f>
        <v/>
      </c>
      <c r="B145" s="15" t="n"/>
      <c r="C145" s="4" t="n"/>
      <c r="D145" s="4" t="n"/>
      <c r="E145" s="4" t="n"/>
      <c r="F145" s="16" t="n"/>
      <c r="G145" s="4" t="n"/>
      <c r="H145" s="4" t="n"/>
      <c r="I145" s="4" t="n"/>
      <c r="J145" s="4" t="n"/>
    </row>
    <row r="146">
      <c r="A146" s="18">
        <f>IF(F146&lt;&gt;"",ROW()-4,"")</f>
        <v/>
      </c>
      <c r="B146" s="15" t="n"/>
      <c r="C146" s="4" t="n"/>
      <c r="D146" s="4" t="n"/>
      <c r="E146" s="4" t="n"/>
      <c r="F146" s="16" t="n"/>
      <c r="G146" s="4" t="n"/>
      <c r="H146" s="4" t="n"/>
      <c r="I146" s="4" t="n"/>
      <c r="J146" s="4" t="n"/>
    </row>
    <row r="147">
      <c r="A147" s="14">
        <f>IF(F147&lt;&gt;"",ROW()-4,"")</f>
        <v/>
      </c>
      <c r="B147" s="15" t="n"/>
      <c r="C147" s="4" t="n"/>
      <c r="D147" s="4" t="n"/>
      <c r="E147" s="4" t="n"/>
      <c r="F147" s="16" t="n"/>
      <c r="G147" s="4" t="n"/>
      <c r="H147" s="4" t="n"/>
      <c r="I147" s="4" t="n"/>
      <c r="J147" s="4" t="n"/>
    </row>
    <row r="148">
      <c r="A148" s="18">
        <f>IF(F148&lt;&gt;"",ROW()-4,"")</f>
        <v/>
      </c>
      <c r="B148" s="15" t="n"/>
      <c r="C148" s="4" t="n"/>
      <c r="D148" s="4" t="n"/>
      <c r="E148" s="4" t="n"/>
      <c r="F148" s="16" t="n"/>
      <c r="G148" s="4" t="n"/>
      <c r="H148" s="4" t="n"/>
      <c r="I148" s="4" t="n"/>
      <c r="J148" s="4" t="n"/>
    </row>
    <row r="149">
      <c r="A149" s="14">
        <f>IF(F149&lt;&gt;"",ROW()-4,"")</f>
        <v/>
      </c>
      <c r="B149" s="15" t="n"/>
      <c r="C149" s="4" t="n"/>
      <c r="D149" s="4" t="n"/>
      <c r="E149" s="4" t="n"/>
      <c r="F149" s="16" t="n"/>
      <c r="G149" s="4" t="n"/>
      <c r="H149" s="4" t="n"/>
      <c r="I149" s="4" t="n"/>
      <c r="J149" s="4" t="n"/>
    </row>
    <row r="150">
      <c r="A150" s="18">
        <f>IF(F150&lt;&gt;"",ROW()-4,"")</f>
        <v/>
      </c>
      <c r="B150" s="15" t="n"/>
      <c r="C150" s="4" t="n"/>
      <c r="D150" s="4" t="n"/>
      <c r="E150" s="4" t="n"/>
      <c r="F150" s="16" t="n"/>
      <c r="G150" s="4" t="n"/>
      <c r="H150" s="4" t="n"/>
      <c r="I150" s="4" t="n"/>
      <c r="J150" s="4" t="n"/>
    </row>
    <row r="151">
      <c r="A151" s="14">
        <f>IF(F151&lt;&gt;"",ROW()-4,"")</f>
        <v/>
      </c>
      <c r="B151" s="15" t="n"/>
      <c r="C151" s="4" t="n"/>
      <c r="D151" s="4" t="n"/>
      <c r="E151" s="4" t="n"/>
      <c r="F151" s="16" t="n"/>
      <c r="G151" s="4" t="n"/>
      <c r="H151" s="4" t="n"/>
      <c r="I151" s="4" t="n"/>
      <c r="J151" s="4" t="n"/>
    </row>
    <row r="152">
      <c r="A152" s="18">
        <f>IF(F152&lt;&gt;"",ROW()-4,"")</f>
        <v/>
      </c>
      <c r="B152" s="15" t="n"/>
      <c r="C152" s="4" t="n"/>
      <c r="D152" s="4" t="n"/>
      <c r="E152" s="4" t="n"/>
      <c r="F152" s="16" t="n"/>
      <c r="G152" s="4" t="n"/>
      <c r="H152" s="4" t="n"/>
      <c r="I152" s="4" t="n"/>
      <c r="J152" s="4" t="n"/>
    </row>
    <row r="153">
      <c r="A153" s="14">
        <f>IF(F153&lt;&gt;"",ROW()-4,"")</f>
        <v/>
      </c>
      <c r="B153" s="15" t="n"/>
      <c r="C153" s="4" t="n"/>
      <c r="D153" s="4" t="n"/>
      <c r="E153" s="4" t="n"/>
      <c r="F153" s="16" t="n"/>
      <c r="G153" s="4" t="n"/>
      <c r="H153" s="4" t="n"/>
      <c r="I153" s="4" t="n"/>
      <c r="J153" s="4" t="n"/>
    </row>
    <row r="154">
      <c r="A154" s="18">
        <f>IF(F154&lt;&gt;"",ROW()-4,"")</f>
        <v/>
      </c>
      <c r="B154" s="15" t="n"/>
      <c r="C154" s="4" t="n"/>
      <c r="D154" s="4" t="n"/>
      <c r="E154" s="4" t="n"/>
      <c r="F154" s="16" t="n"/>
      <c r="G154" s="4" t="n"/>
      <c r="H154" s="4" t="n"/>
      <c r="I154" s="4" t="n"/>
      <c r="J154" s="4" t="n"/>
    </row>
    <row r="155">
      <c r="A155" s="14">
        <f>IF(F155&lt;&gt;"",ROW()-4,"")</f>
        <v/>
      </c>
      <c r="B155" s="15" t="n"/>
      <c r="C155" s="4" t="n"/>
      <c r="D155" s="4" t="n"/>
      <c r="E155" s="4" t="n"/>
      <c r="F155" s="16" t="n"/>
      <c r="G155" s="4" t="n"/>
      <c r="H155" s="4" t="n"/>
      <c r="I155" s="4" t="n"/>
      <c r="J155" s="4" t="n"/>
    </row>
    <row r="156">
      <c r="A156" s="18">
        <f>IF(F156&lt;&gt;"",ROW()-4,"")</f>
        <v/>
      </c>
      <c r="B156" s="15" t="n"/>
      <c r="C156" s="4" t="n"/>
      <c r="D156" s="4" t="n"/>
      <c r="E156" s="4" t="n"/>
      <c r="F156" s="16" t="n"/>
      <c r="G156" s="4" t="n"/>
      <c r="H156" s="4" t="n"/>
      <c r="I156" s="4" t="n"/>
      <c r="J156" s="4" t="n"/>
    </row>
    <row r="157">
      <c r="A157" s="14">
        <f>IF(F157&lt;&gt;"",ROW()-4,"")</f>
        <v/>
      </c>
      <c r="B157" s="15" t="n"/>
      <c r="C157" s="4" t="n"/>
      <c r="D157" s="4" t="n"/>
      <c r="E157" s="4" t="n"/>
      <c r="F157" s="16" t="n"/>
      <c r="G157" s="4" t="n"/>
      <c r="H157" s="4" t="n"/>
      <c r="I157" s="4" t="n"/>
      <c r="J157" s="4" t="n"/>
    </row>
    <row r="158">
      <c r="A158" s="18">
        <f>IF(F158&lt;&gt;"",ROW()-4,"")</f>
        <v/>
      </c>
      <c r="B158" s="15" t="n"/>
      <c r="C158" s="4" t="n"/>
      <c r="D158" s="4" t="n"/>
      <c r="E158" s="4" t="n"/>
      <c r="F158" s="16" t="n"/>
      <c r="G158" s="4" t="n"/>
      <c r="H158" s="4" t="n"/>
      <c r="I158" s="4" t="n"/>
      <c r="J158" s="4" t="n"/>
    </row>
    <row r="159">
      <c r="A159" s="14">
        <f>IF(F159&lt;&gt;"",ROW()-4,"")</f>
        <v/>
      </c>
      <c r="B159" s="15" t="n"/>
      <c r="C159" s="4" t="n"/>
      <c r="D159" s="4" t="n"/>
      <c r="E159" s="4" t="n"/>
      <c r="F159" s="16" t="n"/>
      <c r="G159" s="4" t="n"/>
      <c r="H159" s="4" t="n"/>
      <c r="I159" s="4" t="n"/>
      <c r="J159" s="4" t="n"/>
    </row>
    <row r="160">
      <c r="A160" s="18">
        <f>IF(F160&lt;&gt;"",ROW()-4,"")</f>
        <v/>
      </c>
      <c r="B160" s="15" t="n"/>
      <c r="C160" s="4" t="n"/>
      <c r="D160" s="4" t="n"/>
      <c r="E160" s="4" t="n"/>
      <c r="F160" s="16" t="n"/>
      <c r="G160" s="4" t="n"/>
      <c r="H160" s="4" t="n"/>
      <c r="I160" s="4" t="n"/>
      <c r="J160" s="4" t="n"/>
    </row>
    <row r="161">
      <c r="A161" s="14">
        <f>IF(F161&lt;&gt;"",ROW()-4,"")</f>
        <v/>
      </c>
      <c r="B161" s="15" t="n"/>
      <c r="C161" s="4" t="n"/>
      <c r="D161" s="4" t="n"/>
      <c r="E161" s="4" t="n"/>
      <c r="F161" s="16" t="n"/>
      <c r="G161" s="4" t="n"/>
      <c r="H161" s="4" t="n"/>
      <c r="I161" s="4" t="n"/>
      <c r="J161" s="4" t="n"/>
    </row>
    <row r="162">
      <c r="A162" s="18">
        <f>IF(F162&lt;&gt;"",ROW()-4,"")</f>
        <v/>
      </c>
      <c r="B162" s="15" t="n"/>
      <c r="C162" s="4" t="n"/>
      <c r="D162" s="4" t="n"/>
      <c r="E162" s="4" t="n"/>
      <c r="F162" s="16" t="n"/>
      <c r="G162" s="4" t="n"/>
      <c r="H162" s="4" t="n"/>
      <c r="I162" s="4" t="n"/>
      <c r="J162" s="4" t="n"/>
    </row>
    <row r="163">
      <c r="A163" s="14">
        <f>IF(F163&lt;&gt;"",ROW()-4,"")</f>
        <v/>
      </c>
      <c r="B163" s="15" t="n"/>
      <c r="C163" s="4" t="n"/>
      <c r="D163" s="4" t="n"/>
      <c r="E163" s="4" t="n"/>
      <c r="F163" s="16" t="n"/>
      <c r="G163" s="4" t="n"/>
      <c r="H163" s="4" t="n"/>
      <c r="I163" s="4" t="n"/>
      <c r="J163" s="4" t="n"/>
    </row>
    <row r="164">
      <c r="A164" s="18">
        <f>IF(F164&lt;&gt;"",ROW()-4,"")</f>
        <v/>
      </c>
      <c r="B164" s="15" t="n"/>
      <c r="C164" s="4" t="n"/>
      <c r="D164" s="4" t="n"/>
      <c r="E164" s="4" t="n"/>
      <c r="F164" s="16" t="n"/>
      <c r="G164" s="4" t="n"/>
      <c r="H164" s="4" t="n"/>
      <c r="I164" s="4" t="n"/>
      <c r="J164" s="4" t="n"/>
    </row>
    <row r="165">
      <c r="A165" s="14">
        <f>IF(F165&lt;&gt;"",ROW()-4,"")</f>
        <v/>
      </c>
      <c r="B165" s="15" t="n"/>
      <c r="C165" s="4" t="n"/>
      <c r="D165" s="4" t="n"/>
      <c r="E165" s="4" t="n"/>
      <c r="F165" s="16" t="n"/>
      <c r="G165" s="4" t="n"/>
      <c r="H165" s="4" t="n"/>
      <c r="I165" s="4" t="n"/>
      <c r="J165" s="4" t="n"/>
    </row>
    <row r="166">
      <c r="A166" s="18">
        <f>IF(F166&lt;&gt;"",ROW()-4,"")</f>
        <v/>
      </c>
      <c r="B166" s="15" t="n"/>
      <c r="C166" s="4" t="n"/>
      <c r="D166" s="4" t="n"/>
      <c r="E166" s="4" t="n"/>
      <c r="F166" s="16" t="n"/>
      <c r="G166" s="4" t="n"/>
      <c r="H166" s="4" t="n"/>
      <c r="I166" s="4" t="n"/>
      <c r="J166" s="4" t="n"/>
    </row>
    <row r="167">
      <c r="A167" s="14">
        <f>IF(F167&lt;&gt;"",ROW()-4,"")</f>
        <v/>
      </c>
      <c r="B167" s="15" t="n"/>
      <c r="C167" s="4" t="n"/>
      <c r="D167" s="4" t="n"/>
      <c r="E167" s="4" t="n"/>
      <c r="F167" s="16" t="n"/>
      <c r="G167" s="4" t="n"/>
      <c r="H167" s="4" t="n"/>
      <c r="I167" s="4" t="n"/>
      <c r="J167" s="4" t="n"/>
    </row>
    <row r="168">
      <c r="A168" s="18">
        <f>IF(F168&lt;&gt;"",ROW()-4,"")</f>
        <v/>
      </c>
      <c r="B168" s="15" t="n"/>
      <c r="C168" s="4" t="n"/>
      <c r="D168" s="4" t="n"/>
      <c r="E168" s="4" t="n"/>
      <c r="F168" s="16" t="n"/>
      <c r="G168" s="4" t="n"/>
      <c r="H168" s="4" t="n"/>
      <c r="I168" s="4" t="n"/>
      <c r="J168" s="4" t="n"/>
    </row>
    <row r="169">
      <c r="A169" s="14">
        <f>IF(F169&lt;&gt;"",ROW()-4,"")</f>
        <v/>
      </c>
      <c r="B169" s="15" t="n"/>
      <c r="C169" s="4" t="n"/>
      <c r="D169" s="4" t="n"/>
      <c r="E169" s="4" t="n"/>
      <c r="F169" s="16" t="n"/>
      <c r="G169" s="4" t="n"/>
      <c r="H169" s="4" t="n"/>
      <c r="I169" s="4" t="n"/>
      <c r="J169" s="4" t="n"/>
    </row>
    <row r="170">
      <c r="A170" s="18">
        <f>IF(F170&lt;&gt;"",ROW()-4,"")</f>
        <v/>
      </c>
      <c r="B170" s="15" t="n"/>
      <c r="C170" s="4" t="n"/>
      <c r="D170" s="4" t="n"/>
      <c r="E170" s="4" t="n"/>
      <c r="F170" s="16" t="n"/>
      <c r="G170" s="4" t="n"/>
      <c r="H170" s="4" t="n"/>
      <c r="I170" s="4" t="n"/>
      <c r="J170" s="4" t="n"/>
    </row>
    <row r="171">
      <c r="A171" s="14">
        <f>IF(F171&lt;&gt;"",ROW()-4,"")</f>
        <v/>
      </c>
      <c r="B171" s="15" t="n"/>
      <c r="C171" s="4" t="n"/>
      <c r="D171" s="4" t="n"/>
      <c r="E171" s="4" t="n"/>
      <c r="F171" s="16" t="n"/>
      <c r="G171" s="4" t="n"/>
      <c r="H171" s="4" t="n"/>
      <c r="I171" s="4" t="n"/>
      <c r="J171" s="4" t="n"/>
    </row>
    <row r="172">
      <c r="A172" s="18">
        <f>IF(F172&lt;&gt;"",ROW()-4,"")</f>
        <v/>
      </c>
      <c r="B172" s="15" t="n"/>
      <c r="C172" s="4" t="n"/>
      <c r="D172" s="4" t="n"/>
      <c r="E172" s="4" t="n"/>
      <c r="F172" s="16" t="n"/>
      <c r="G172" s="4" t="n"/>
      <c r="H172" s="4" t="n"/>
      <c r="I172" s="4" t="n"/>
      <c r="J172" s="4" t="n"/>
    </row>
    <row r="173">
      <c r="A173" s="14">
        <f>IF(F173&lt;&gt;"",ROW()-4,"")</f>
        <v/>
      </c>
      <c r="B173" s="15" t="n"/>
      <c r="C173" s="4" t="n"/>
      <c r="D173" s="4" t="n"/>
      <c r="E173" s="4" t="n"/>
      <c r="F173" s="16" t="n"/>
      <c r="G173" s="4" t="n"/>
      <c r="H173" s="4" t="n"/>
      <c r="I173" s="4" t="n"/>
      <c r="J173" s="4" t="n"/>
    </row>
    <row r="174">
      <c r="A174" s="18">
        <f>IF(F174&lt;&gt;"",ROW()-4,"")</f>
        <v/>
      </c>
      <c r="B174" s="15" t="n"/>
      <c r="C174" s="4" t="n"/>
      <c r="D174" s="4" t="n"/>
      <c r="E174" s="4" t="n"/>
      <c r="F174" s="16" t="n"/>
      <c r="G174" s="4" t="n"/>
      <c r="H174" s="4" t="n"/>
      <c r="I174" s="4" t="n"/>
      <c r="J174" s="4" t="n"/>
    </row>
    <row r="175">
      <c r="A175" s="14">
        <f>IF(F175&lt;&gt;"",ROW()-4,"")</f>
        <v/>
      </c>
      <c r="B175" s="15" t="n"/>
      <c r="C175" s="4" t="n"/>
      <c r="D175" s="4" t="n"/>
      <c r="E175" s="4" t="n"/>
      <c r="F175" s="16" t="n"/>
      <c r="G175" s="4" t="n"/>
      <c r="H175" s="4" t="n"/>
      <c r="I175" s="4" t="n"/>
      <c r="J175" s="4" t="n"/>
    </row>
    <row r="176">
      <c r="A176" s="18">
        <f>IF(F176&lt;&gt;"",ROW()-4,"")</f>
        <v/>
      </c>
      <c r="B176" s="15" t="n"/>
      <c r="C176" s="4" t="n"/>
      <c r="D176" s="4" t="n"/>
      <c r="E176" s="4" t="n"/>
      <c r="F176" s="16" t="n"/>
      <c r="G176" s="4" t="n"/>
      <c r="H176" s="4" t="n"/>
      <c r="I176" s="4" t="n"/>
      <c r="J176" s="4" t="n"/>
    </row>
    <row r="177">
      <c r="A177" s="14">
        <f>IF(F177&lt;&gt;"",ROW()-4,"")</f>
        <v/>
      </c>
      <c r="B177" s="15" t="n"/>
      <c r="C177" s="4" t="n"/>
      <c r="D177" s="4" t="n"/>
      <c r="E177" s="4" t="n"/>
      <c r="F177" s="16" t="n"/>
      <c r="G177" s="4" t="n"/>
      <c r="H177" s="4" t="n"/>
      <c r="I177" s="4" t="n"/>
      <c r="J177" s="4" t="n"/>
    </row>
    <row r="178">
      <c r="A178" s="18">
        <f>IF(F178&lt;&gt;"",ROW()-4,"")</f>
        <v/>
      </c>
      <c r="B178" s="15" t="n"/>
      <c r="C178" s="4" t="n"/>
      <c r="D178" s="4" t="n"/>
      <c r="E178" s="4" t="n"/>
      <c r="F178" s="16" t="n"/>
      <c r="G178" s="4" t="n"/>
      <c r="H178" s="4" t="n"/>
      <c r="I178" s="4" t="n"/>
      <c r="J178" s="4" t="n"/>
    </row>
    <row r="179">
      <c r="A179" s="14">
        <f>IF(F179&lt;&gt;"",ROW()-4,"")</f>
        <v/>
      </c>
      <c r="B179" s="15" t="n"/>
      <c r="C179" s="4" t="n"/>
      <c r="D179" s="4" t="n"/>
      <c r="E179" s="4" t="n"/>
      <c r="F179" s="16" t="n"/>
      <c r="G179" s="4" t="n"/>
      <c r="H179" s="4" t="n"/>
      <c r="I179" s="4" t="n"/>
      <c r="J179" s="4" t="n"/>
    </row>
    <row r="180">
      <c r="A180" s="18">
        <f>IF(F180&lt;&gt;"",ROW()-4,"")</f>
        <v/>
      </c>
      <c r="B180" s="15" t="n"/>
      <c r="C180" s="4" t="n"/>
      <c r="D180" s="4" t="n"/>
      <c r="E180" s="4" t="n"/>
      <c r="F180" s="16" t="n"/>
      <c r="G180" s="4" t="n"/>
      <c r="H180" s="4" t="n"/>
      <c r="I180" s="4" t="n"/>
      <c r="J180" s="4" t="n"/>
    </row>
    <row r="181">
      <c r="A181" s="14">
        <f>IF(F181&lt;&gt;"",ROW()-4,"")</f>
        <v/>
      </c>
      <c r="B181" s="15" t="n"/>
      <c r="C181" s="4" t="n"/>
      <c r="D181" s="4" t="n"/>
      <c r="E181" s="4" t="n"/>
      <c r="F181" s="16" t="n"/>
      <c r="G181" s="4" t="n"/>
      <c r="H181" s="4" t="n"/>
      <c r="I181" s="4" t="n"/>
      <c r="J181" s="4" t="n"/>
    </row>
    <row r="182">
      <c r="A182" s="18">
        <f>IF(F182&lt;&gt;"",ROW()-4,"")</f>
        <v/>
      </c>
      <c r="B182" s="15" t="n"/>
      <c r="C182" s="4" t="n"/>
      <c r="D182" s="4" t="n"/>
      <c r="E182" s="4" t="n"/>
      <c r="F182" s="16" t="n"/>
      <c r="G182" s="4" t="n"/>
      <c r="H182" s="4" t="n"/>
      <c r="I182" s="4" t="n"/>
      <c r="J182" s="4" t="n"/>
    </row>
    <row r="183">
      <c r="A183" s="14">
        <f>IF(F183&lt;&gt;"",ROW()-4,"")</f>
        <v/>
      </c>
      <c r="B183" s="15" t="n"/>
      <c r="C183" s="4" t="n"/>
      <c r="D183" s="4" t="n"/>
      <c r="E183" s="4" t="n"/>
      <c r="F183" s="16" t="n"/>
      <c r="G183" s="4" t="n"/>
      <c r="H183" s="4" t="n"/>
      <c r="I183" s="4" t="n"/>
      <c r="J183" s="4" t="n"/>
    </row>
    <row r="184">
      <c r="A184" s="18">
        <f>IF(F184&lt;&gt;"",ROW()-4,"")</f>
        <v/>
      </c>
      <c r="B184" s="15" t="n"/>
      <c r="C184" s="4" t="n"/>
      <c r="D184" s="4" t="n"/>
      <c r="E184" s="4" t="n"/>
      <c r="F184" s="16" t="n"/>
      <c r="G184" s="4" t="n"/>
      <c r="H184" s="4" t="n"/>
      <c r="I184" s="4" t="n"/>
      <c r="J184" s="4" t="n"/>
    </row>
    <row r="185">
      <c r="A185" s="14">
        <f>IF(F185&lt;&gt;"",ROW()-4,"")</f>
        <v/>
      </c>
      <c r="B185" s="15" t="n"/>
      <c r="C185" s="4" t="n"/>
      <c r="D185" s="4" t="n"/>
      <c r="E185" s="4" t="n"/>
      <c r="F185" s="16" t="n"/>
      <c r="G185" s="4" t="n"/>
      <c r="H185" s="4" t="n"/>
      <c r="I185" s="4" t="n"/>
      <c r="J185" s="4" t="n"/>
    </row>
    <row r="186">
      <c r="A186" s="18">
        <f>IF(F186&lt;&gt;"",ROW()-4,"")</f>
        <v/>
      </c>
      <c r="B186" s="15" t="n"/>
      <c r="C186" s="4" t="n"/>
      <c r="D186" s="4" t="n"/>
      <c r="E186" s="4" t="n"/>
      <c r="F186" s="16" t="n"/>
      <c r="G186" s="4" t="n"/>
      <c r="H186" s="4" t="n"/>
      <c r="I186" s="4" t="n"/>
      <c r="J186" s="4" t="n"/>
    </row>
    <row r="187">
      <c r="A187" s="14">
        <f>IF(F187&lt;&gt;"",ROW()-4,"")</f>
        <v/>
      </c>
      <c r="B187" s="15" t="n"/>
      <c r="C187" s="4" t="n"/>
      <c r="D187" s="4" t="n"/>
      <c r="E187" s="4" t="n"/>
      <c r="F187" s="16" t="n"/>
      <c r="G187" s="4" t="n"/>
      <c r="H187" s="4" t="n"/>
      <c r="I187" s="4" t="n"/>
      <c r="J187" s="4" t="n"/>
    </row>
    <row r="188">
      <c r="A188" s="18">
        <f>IF(F188&lt;&gt;"",ROW()-4,"")</f>
        <v/>
      </c>
      <c r="B188" s="15" t="n"/>
      <c r="C188" s="4" t="n"/>
      <c r="D188" s="4" t="n"/>
      <c r="E188" s="4" t="n"/>
      <c r="F188" s="16" t="n"/>
      <c r="G188" s="4" t="n"/>
      <c r="H188" s="4" t="n"/>
      <c r="I188" s="4" t="n"/>
      <c r="J188" s="4" t="n"/>
    </row>
    <row r="189">
      <c r="A189" s="14">
        <f>IF(F189&lt;&gt;"",ROW()-4,"")</f>
        <v/>
      </c>
      <c r="B189" s="15" t="n"/>
      <c r="C189" s="4" t="n"/>
      <c r="D189" s="4" t="n"/>
      <c r="E189" s="4" t="n"/>
      <c r="F189" s="16" t="n"/>
      <c r="G189" s="4" t="n"/>
      <c r="H189" s="4" t="n"/>
      <c r="I189" s="4" t="n"/>
      <c r="J189" s="4" t="n"/>
    </row>
    <row r="190">
      <c r="A190" s="18">
        <f>IF(F190&lt;&gt;"",ROW()-4,"")</f>
        <v/>
      </c>
      <c r="B190" s="15" t="n"/>
      <c r="C190" s="4" t="n"/>
      <c r="D190" s="4" t="n"/>
      <c r="E190" s="4" t="n"/>
      <c r="F190" s="16" t="n"/>
      <c r="G190" s="4" t="n"/>
      <c r="H190" s="4" t="n"/>
      <c r="I190" s="4" t="n"/>
      <c r="J190" s="4" t="n"/>
    </row>
    <row r="191">
      <c r="A191" s="14">
        <f>IF(F191&lt;&gt;"",ROW()-4,"")</f>
        <v/>
      </c>
      <c r="B191" s="15" t="n"/>
      <c r="C191" s="4" t="n"/>
      <c r="D191" s="4" t="n"/>
      <c r="E191" s="4" t="n"/>
      <c r="F191" s="16" t="n"/>
      <c r="G191" s="4" t="n"/>
      <c r="H191" s="4" t="n"/>
      <c r="I191" s="4" t="n"/>
      <c r="J191" s="4" t="n"/>
    </row>
    <row r="192">
      <c r="A192" s="18">
        <f>IF(F192&lt;&gt;"",ROW()-4,"")</f>
        <v/>
      </c>
      <c r="B192" s="15" t="n"/>
      <c r="C192" s="4" t="n"/>
      <c r="D192" s="4" t="n"/>
      <c r="E192" s="4" t="n"/>
      <c r="F192" s="16" t="n"/>
      <c r="G192" s="4" t="n"/>
      <c r="H192" s="4" t="n"/>
      <c r="I192" s="4" t="n"/>
      <c r="J192" s="4" t="n"/>
    </row>
    <row r="193">
      <c r="A193" s="14">
        <f>IF(F193&lt;&gt;"",ROW()-4,"")</f>
        <v/>
      </c>
      <c r="B193" s="15" t="n"/>
      <c r="C193" s="4" t="n"/>
      <c r="D193" s="4" t="n"/>
      <c r="E193" s="4" t="n"/>
      <c r="F193" s="16" t="n"/>
      <c r="G193" s="4" t="n"/>
      <c r="H193" s="4" t="n"/>
      <c r="I193" s="4" t="n"/>
      <c r="J193" s="4" t="n"/>
    </row>
    <row r="194">
      <c r="A194" s="18">
        <f>IF(F194&lt;&gt;"",ROW()-4,"")</f>
        <v/>
      </c>
      <c r="B194" s="15" t="n"/>
      <c r="C194" s="4" t="n"/>
      <c r="D194" s="4" t="n"/>
      <c r="E194" s="4" t="n"/>
      <c r="F194" s="16" t="n"/>
      <c r="G194" s="4" t="n"/>
      <c r="H194" s="4" t="n"/>
      <c r="I194" s="4" t="n"/>
      <c r="J194" s="4" t="n"/>
    </row>
    <row r="195">
      <c r="A195" s="14">
        <f>IF(F195&lt;&gt;"",ROW()-4,"")</f>
        <v/>
      </c>
      <c r="B195" s="15" t="n"/>
      <c r="C195" s="4" t="n"/>
      <c r="D195" s="4" t="n"/>
      <c r="E195" s="4" t="n"/>
      <c r="F195" s="16" t="n"/>
      <c r="G195" s="4" t="n"/>
      <c r="H195" s="4" t="n"/>
      <c r="I195" s="4" t="n"/>
      <c r="J195" s="4" t="n"/>
    </row>
    <row r="196">
      <c r="A196" s="18">
        <f>IF(F196&lt;&gt;"",ROW()-4,"")</f>
        <v/>
      </c>
      <c r="B196" s="15" t="n"/>
      <c r="C196" s="4" t="n"/>
      <c r="D196" s="4" t="n"/>
      <c r="E196" s="4" t="n"/>
      <c r="F196" s="16" t="n"/>
      <c r="G196" s="4" t="n"/>
      <c r="H196" s="4" t="n"/>
      <c r="I196" s="4" t="n"/>
      <c r="J196" s="4" t="n"/>
    </row>
    <row r="197">
      <c r="A197" s="14">
        <f>IF(F197&lt;&gt;"",ROW()-4,"")</f>
        <v/>
      </c>
      <c r="B197" s="15" t="n"/>
      <c r="C197" s="4" t="n"/>
      <c r="D197" s="4" t="n"/>
      <c r="E197" s="4" t="n"/>
      <c r="F197" s="16" t="n"/>
      <c r="G197" s="4" t="n"/>
      <c r="H197" s="4" t="n"/>
      <c r="I197" s="4" t="n"/>
      <c r="J197" s="4" t="n"/>
    </row>
    <row r="198">
      <c r="A198" s="18">
        <f>IF(F198&lt;&gt;"",ROW()-4,"")</f>
        <v/>
      </c>
      <c r="B198" s="15" t="n"/>
      <c r="C198" s="4" t="n"/>
      <c r="D198" s="4" t="n"/>
      <c r="E198" s="4" t="n"/>
      <c r="F198" s="16" t="n"/>
      <c r="G198" s="4" t="n"/>
      <c r="H198" s="4" t="n"/>
      <c r="I198" s="4" t="n"/>
      <c r="J198" s="4" t="n"/>
    </row>
    <row r="199">
      <c r="A199" s="14">
        <f>IF(F199&lt;&gt;"",ROW()-4,"")</f>
        <v/>
      </c>
      <c r="B199" s="15" t="n"/>
      <c r="C199" s="4" t="n"/>
      <c r="D199" s="4" t="n"/>
      <c r="E199" s="4" t="n"/>
      <c r="F199" s="16" t="n"/>
      <c r="G199" s="4" t="n"/>
      <c r="H199" s="4" t="n"/>
      <c r="I199" s="4" t="n"/>
      <c r="J199" s="4" t="n"/>
    </row>
    <row r="200">
      <c r="A200" s="18">
        <f>IF(F200&lt;&gt;"",ROW()-4,"")</f>
        <v/>
      </c>
      <c r="B200" s="15" t="n"/>
      <c r="C200" s="4" t="n"/>
      <c r="D200" s="4" t="n"/>
      <c r="E200" s="4" t="n"/>
      <c r="F200" s="16" t="n"/>
      <c r="G200" s="4" t="n"/>
      <c r="H200" s="4" t="n"/>
      <c r="I200" s="4" t="n"/>
      <c r="J200" s="4" t="n"/>
    </row>
    <row r="201">
      <c r="A201" s="14">
        <f>IF(F201&lt;&gt;"",ROW()-4,"")</f>
        <v/>
      </c>
      <c r="B201" s="15" t="n"/>
      <c r="C201" s="4" t="n"/>
      <c r="D201" s="4" t="n"/>
      <c r="E201" s="4" t="n"/>
      <c r="F201" s="16" t="n"/>
      <c r="G201" s="4" t="n"/>
      <c r="H201" s="4" t="n"/>
      <c r="I201" s="4" t="n"/>
      <c r="J201" s="4" t="n"/>
    </row>
    <row r="202">
      <c r="A202" s="18">
        <f>IF(F202&lt;&gt;"",ROW()-4,"")</f>
        <v/>
      </c>
      <c r="B202" s="15" t="n"/>
      <c r="C202" s="4" t="n"/>
      <c r="D202" s="4" t="n"/>
      <c r="E202" s="4" t="n"/>
      <c r="F202" s="16" t="n"/>
      <c r="G202" s="4" t="n"/>
      <c r="H202" s="4" t="n"/>
      <c r="I202" s="4" t="n"/>
      <c r="J202" s="4" t="n"/>
    </row>
    <row r="203">
      <c r="A203" s="14">
        <f>IF(F203&lt;&gt;"",ROW()-4,"")</f>
        <v/>
      </c>
      <c r="B203" s="15" t="n"/>
      <c r="C203" s="4" t="n"/>
      <c r="D203" s="4" t="n"/>
      <c r="E203" s="4" t="n"/>
      <c r="F203" s="16" t="n"/>
      <c r="G203" s="4" t="n"/>
      <c r="H203" s="4" t="n"/>
      <c r="I203" s="4" t="n"/>
      <c r="J203" s="4" t="n"/>
    </row>
    <row r="204">
      <c r="A204" s="18">
        <f>IF(F204&lt;&gt;"",ROW()-4,"")</f>
        <v/>
      </c>
      <c r="B204" s="15" t="n"/>
      <c r="C204" s="4" t="n"/>
      <c r="D204" s="4" t="n"/>
      <c r="E204" s="4" t="n"/>
      <c r="F204" s="16" t="n"/>
      <c r="G204" s="4" t="n"/>
      <c r="H204" s="4" t="n"/>
      <c r="I204" s="4" t="n"/>
      <c r="J204" s="4" t="n"/>
    </row>
    <row r="205">
      <c r="A205" s="14">
        <f>IF(F205&lt;&gt;"",ROW()-4,"")</f>
        <v/>
      </c>
      <c r="B205" s="15" t="n"/>
      <c r="C205" s="4" t="n"/>
      <c r="D205" s="4" t="n"/>
      <c r="E205" s="4" t="n"/>
      <c r="F205" s="16" t="n"/>
      <c r="G205" s="4" t="n"/>
      <c r="H205" s="4" t="n"/>
      <c r="I205" s="4" t="n"/>
      <c r="J205" s="4" t="n"/>
    </row>
    <row r="206">
      <c r="A206" s="18">
        <f>IF(F206&lt;&gt;"",ROW()-4,"")</f>
        <v/>
      </c>
      <c r="B206" s="15" t="n"/>
      <c r="C206" s="4" t="n"/>
      <c r="D206" s="4" t="n"/>
      <c r="E206" s="4" t="n"/>
      <c r="F206" s="16" t="n"/>
      <c r="G206" s="4" t="n"/>
      <c r="H206" s="4" t="n"/>
      <c r="I206" s="4" t="n"/>
      <c r="J206" s="4" t="n"/>
    </row>
    <row r="207">
      <c r="A207" s="14">
        <f>IF(F207&lt;&gt;"",ROW()-4,"")</f>
        <v/>
      </c>
      <c r="B207" s="15" t="n"/>
      <c r="C207" s="4" t="n"/>
      <c r="D207" s="4" t="n"/>
      <c r="E207" s="4" t="n"/>
      <c r="F207" s="16" t="n"/>
      <c r="G207" s="4" t="n"/>
      <c r="H207" s="4" t="n"/>
      <c r="I207" s="4" t="n"/>
      <c r="J207" s="4" t="n"/>
    </row>
    <row r="208">
      <c r="A208" s="18">
        <f>IF(F208&lt;&gt;"",ROW()-4,"")</f>
        <v/>
      </c>
      <c r="B208" s="15" t="n"/>
      <c r="C208" s="4" t="n"/>
      <c r="D208" s="4" t="n"/>
      <c r="E208" s="4" t="n"/>
      <c r="F208" s="16" t="n"/>
      <c r="G208" s="4" t="n"/>
      <c r="H208" s="4" t="n"/>
      <c r="I208" s="4" t="n"/>
      <c r="J208" s="4" t="n"/>
    </row>
    <row r="209">
      <c r="A209" s="14">
        <f>IF(F209&lt;&gt;"",ROW()-4,"")</f>
        <v/>
      </c>
      <c r="B209" s="15" t="n"/>
      <c r="C209" s="4" t="n"/>
      <c r="D209" s="4" t="n"/>
      <c r="E209" s="4" t="n"/>
      <c r="F209" s="16" t="n"/>
      <c r="G209" s="4" t="n"/>
      <c r="H209" s="4" t="n"/>
      <c r="I209" s="4" t="n"/>
      <c r="J209" s="4" t="n"/>
    </row>
    <row r="210">
      <c r="A210" s="18">
        <f>IF(F210&lt;&gt;"",ROW()-4,"")</f>
        <v/>
      </c>
      <c r="B210" s="15" t="n"/>
      <c r="C210" s="4" t="n"/>
      <c r="D210" s="4" t="n"/>
      <c r="E210" s="4" t="n"/>
      <c r="F210" s="16" t="n"/>
      <c r="G210" s="4" t="n"/>
      <c r="H210" s="4" t="n"/>
      <c r="I210" s="4" t="n"/>
      <c r="J210" s="4" t="n"/>
    </row>
    <row r="211">
      <c r="A211" s="14">
        <f>IF(F211&lt;&gt;"",ROW()-4,"")</f>
        <v/>
      </c>
      <c r="B211" s="15" t="n"/>
      <c r="C211" s="4" t="n"/>
      <c r="D211" s="4" t="n"/>
      <c r="E211" s="4" t="n"/>
      <c r="F211" s="16" t="n"/>
      <c r="G211" s="4" t="n"/>
      <c r="H211" s="4" t="n"/>
      <c r="I211" s="4" t="n"/>
      <c r="J211" s="4" t="n"/>
    </row>
    <row r="212">
      <c r="A212" s="18">
        <f>IF(F212&lt;&gt;"",ROW()-4,"")</f>
        <v/>
      </c>
      <c r="B212" s="15" t="n"/>
      <c r="C212" s="4" t="n"/>
      <c r="D212" s="4" t="n"/>
      <c r="E212" s="4" t="n"/>
      <c r="F212" s="16" t="n"/>
      <c r="G212" s="4" t="n"/>
      <c r="H212" s="4" t="n"/>
      <c r="I212" s="4" t="n"/>
      <c r="J212" s="4" t="n"/>
    </row>
    <row r="213">
      <c r="A213" s="14">
        <f>IF(F213&lt;&gt;"",ROW()-4,"")</f>
        <v/>
      </c>
      <c r="B213" s="15" t="n"/>
      <c r="C213" s="4" t="n"/>
      <c r="D213" s="4" t="n"/>
      <c r="E213" s="4" t="n"/>
      <c r="F213" s="16" t="n"/>
      <c r="G213" s="4" t="n"/>
      <c r="H213" s="4" t="n"/>
      <c r="I213" s="4" t="n"/>
      <c r="J213" s="4" t="n"/>
    </row>
    <row r="214">
      <c r="A214" s="18">
        <f>IF(F214&lt;&gt;"",ROW()-4,"")</f>
        <v/>
      </c>
      <c r="B214" s="15" t="n"/>
      <c r="C214" s="4" t="n"/>
      <c r="D214" s="4" t="n"/>
      <c r="E214" s="4" t="n"/>
      <c r="F214" s="16" t="n"/>
      <c r="G214" s="4" t="n"/>
      <c r="H214" s="4" t="n"/>
      <c r="I214" s="4" t="n"/>
      <c r="J214" s="4" t="n"/>
    </row>
    <row r="215">
      <c r="A215" s="14">
        <f>IF(F215&lt;&gt;"",ROW()-4,"")</f>
        <v/>
      </c>
      <c r="B215" s="15" t="n"/>
      <c r="C215" s="4" t="n"/>
      <c r="D215" s="4" t="n"/>
      <c r="E215" s="4" t="n"/>
      <c r="F215" s="16" t="n"/>
      <c r="G215" s="4" t="n"/>
      <c r="H215" s="4" t="n"/>
      <c r="I215" s="4" t="n"/>
      <c r="J215" s="4" t="n"/>
    </row>
    <row r="216">
      <c r="A216" s="18">
        <f>IF(F216&lt;&gt;"",ROW()-4,"")</f>
        <v/>
      </c>
      <c r="B216" s="15" t="n"/>
      <c r="C216" s="4" t="n"/>
      <c r="D216" s="4" t="n"/>
      <c r="E216" s="4" t="n"/>
      <c r="F216" s="16" t="n"/>
      <c r="G216" s="4" t="n"/>
      <c r="H216" s="4" t="n"/>
      <c r="I216" s="4" t="n"/>
      <c r="J216" s="4" t="n"/>
    </row>
    <row r="217">
      <c r="A217" s="14">
        <f>IF(F217&lt;&gt;"",ROW()-4,"")</f>
        <v/>
      </c>
      <c r="B217" s="15" t="n"/>
      <c r="C217" s="4" t="n"/>
      <c r="D217" s="4" t="n"/>
      <c r="E217" s="4" t="n"/>
      <c r="F217" s="16" t="n"/>
      <c r="G217" s="4" t="n"/>
      <c r="H217" s="4" t="n"/>
      <c r="I217" s="4" t="n"/>
      <c r="J217" s="4" t="n"/>
    </row>
    <row r="218">
      <c r="A218" s="18">
        <f>IF(F218&lt;&gt;"",ROW()-4,"")</f>
        <v/>
      </c>
      <c r="B218" s="15" t="n"/>
      <c r="C218" s="4" t="n"/>
      <c r="D218" s="4" t="n"/>
      <c r="E218" s="4" t="n"/>
      <c r="F218" s="16" t="n"/>
      <c r="G218" s="4" t="n"/>
      <c r="H218" s="4" t="n"/>
      <c r="I218" s="4" t="n"/>
      <c r="J218" s="4" t="n"/>
    </row>
    <row r="219">
      <c r="A219" s="14">
        <f>IF(F219&lt;&gt;"",ROW()-4,"")</f>
        <v/>
      </c>
      <c r="B219" s="15" t="n"/>
      <c r="C219" s="4" t="n"/>
      <c r="D219" s="4" t="n"/>
      <c r="E219" s="4" t="n"/>
      <c r="F219" s="16" t="n"/>
      <c r="G219" s="4" t="n"/>
      <c r="H219" s="4" t="n"/>
      <c r="I219" s="4" t="n"/>
      <c r="J219" s="4" t="n"/>
    </row>
    <row r="220">
      <c r="A220" s="18">
        <f>IF(F220&lt;&gt;"",ROW()-4,"")</f>
        <v/>
      </c>
      <c r="B220" s="15" t="n"/>
      <c r="C220" s="4" t="n"/>
      <c r="D220" s="4" t="n"/>
      <c r="E220" s="4" t="n"/>
      <c r="F220" s="16" t="n"/>
      <c r="G220" s="4" t="n"/>
      <c r="H220" s="4" t="n"/>
      <c r="I220" s="4" t="n"/>
      <c r="J220" s="4" t="n"/>
    </row>
    <row r="221">
      <c r="A221" s="14">
        <f>IF(F221&lt;&gt;"",ROW()-4,"")</f>
        <v/>
      </c>
      <c r="B221" s="15" t="n"/>
      <c r="C221" s="4" t="n"/>
      <c r="D221" s="4" t="n"/>
      <c r="E221" s="4" t="n"/>
      <c r="F221" s="16" t="n"/>
      <c r="G221" s="4" t="n"/>
      <c r="H221" s="4" t="n"/>
      <c r="I221" s="4" t="n"/>
      <c r="J221" s="4" t="n"/>
    </row>
    <row r="222">
      <c r="A222" s="18">
        <f>IF(F222&lt;&gt;"",ROW()-4,"")</f>
        <v/>
      </c>
      <c r="B222" s="15" t="n"/>
      <c r="C222" s="4" t="n"/>
      <c r="D222" s="4" t="n"/>
      <c r="E222" s="4" t="n"/>
      <c r="F222" s="16" t="n"/>
      <c r="G222" s="4" t="n"/>
      <c r="H222" s="4" t="n"/>
      <c r="I222" s="4" t="n"/>
      <c r="J222" s="4" t="n"/>
    </row>
    <row r="223">
      <c r="A223" s="14">
        <f>IF(F223&lt;&gt;"",ROW()-4,"")</f>
        <v/>
      </c>
      <c r="B223" s="15" t="n"/>
      <c r="C223" s="4" t="n"/>
      <c r="D223" s="4" t="n"/>
      <c r="E223" s="4" t="n"/>
      <c r="F223" s="16" t="n"/>
      <c r="G223" s="4" t="n"/>
      <c r="H223" s="4" t="n"/>
      <c r="I223" s="4" t="n"/>
      <c r="J223" s="4" t="n"/>
    </row>
    <row r="224">
      <c r="A224" s="18">
        <f>IF(F224&lt;&gt;"",ROW()-4,"")</f>
        <v/>
      </c>
      <c r="B224" s="15" t="n"/>
      <c r="C224" s="4" t="n"/>
      <c r="D224" s="4" t="n"/>
      <c r="E224" s="4" t="n"/>
      <c r="F224" s="16" t="n"/>
      <c r="G224" s="4" t="n"/>
      <c r="H224" s="4" t="n"/>
      <c r="I224" s="4" t="n"/>
      <c r="J224" s="4" t="n"/>
    </row>
    <row r="225">
      <c r="A225" s="14">
        <f>IF(F225&lt;&gt;"",ROW()-4,"")</f>
        <v/>
      </c>
      <c r="B225" s="15" t="n"/>
      <c r="C225" s="4" t="n"/>
      <c r="D225" s="4" t="n"/>
      <c r="E225" s="4" t="n"/>
      <c r="F225" s="16" t="n"/>
      <c r="G225" s="4" t="n"/>
      <c r="H225" s="4" t="n"/>
      <c r="I225" s="4" t="n"/>
      <c r="J225" s="4" t="n"/>
    </row>
    <row r="226">
      <c r="A226" s="18">
        <f>IF(F226&lt;&gt;"",ROW()-4,"")</f>
        <v/>
      </c>
      <c r="B226" s="15" t="n"/>
      <c r="C226" s="4" t="n"/>
      <c r="D226" s="4" t="n"/>
      <c r="E226" s="4" t="n"/>
      <c r="F226" s="16" t="n"/>
      <c r="G226" s="4" t="n"/>
      <c r="H226" s="4" t="n"/>
      <c r="I226" s="4" t="n"/>
      <c r="J226" s="4" t="n"/>
    </row>
    <row r="227">
      <c r="A227" s="14">
        <f>IF(F227&lt;&gt;"",ROW()-4,"")</f>
        <v/>
      </c>
      <c r="B227" s="15" t="n"/>
      <c r="C227" s="4" t="n"/>
      <c r="D227" s="4" t="n"/>
      <c r="E227" s="4" t="n"/>
      <c r="F227" s="16" t="n"/>
      <c r="G227" s="4" t="n"/>
      <c r="H227" s="4" t="n"/>
      <c r="I227" s="4" t="n"/>
      <c r="J227" s="4" t="n"/>
    </row>
    <row r="228">
      <c r="A228" s="18">
        <f>IF(F228&lt;&gt;"",ROW()-4,"")</f>
        <v/>
      </c>
      <c r="B228" s="15" t="n"/>
      <c r="C228" s="4" t="n"/>
      <c r="D228" s="4" t="n"/>
      <c r="E228" s="4" t="n"/>
      <c r="F228" s="16" t="n"/>
      <c r="G228" s="4" t="n"/>
      <c r="H228" s="4" t="n"/>
      <c r="I228" s="4" t="n"/>
      <c r="J228" s="4" t="n"/>
    </row>
    <row r="229">
      <c r="A229" s="14">
        <f>IF(F229&lt;&gt;"",ROW()-4,"")</f>
        <v/>
      </c>
      <c r="B229" s="15" t="n"/>
      <c r="C229" s="4" t="n"/>
      <c r="D229" s="4" t="n"/>
      <c r="E229" s="4" t="n"/>
      <c r="F229" s="16" t="n"/>
      <c r="G229" s="4" t="n"/>
      <c r="H229" s="4" t="n"/>
      <c r="I229" s="4" t="n"/>
      <c r="J229" s="4" t="n"/>
    </row>
    <row r="230">
      <c r="A230" s="18">
        <f>IF(F230&lt;&gt;"",ROW()-4,"")</f>
        <v/>
      </c>
      <c r="B230" s="15" t="n"/>
      <c r="C230" s="4" t="n"/>
      <c r="D230" s="4" t="n"/>
      <c r="E230" s="4" t="n"/>
      <c r="F230" s="16" t="n"/>
      <c r="G230" s="4" t="n"/>
      <c r="H230" s="4" t="n"/>
      <c r="I230" s="4" t="n"/>
      <c r="J230" s="4" t="n"/>
    </row>
    <row r="231">
      <c r="A231" s="14">
        <f>IF(F231&lt;&gt;"",ROW()-4,"")</f>
        <v/>
      </c>
      <c r="B231" s="15" t="n"/>
      <c r="C231" s="4" t="n"/>
      <c r="D231" s="4" t="n"/>
      <c r="E231" s="4" t="n"/>
      <c r="F231" s="16" t="n"/>
      <c r="G231" s="4" t="n"/>
      <c r="H231" s="4" t="n"/>
      <c r="I231" s="4" t="n"/>
      <c r="J231" s="4" t="n"/>
    </row>
    <row r="232">
      <c r="A232" s="18">
        <f>IF(F232&lt;&gt;"",ROW()-4,"")</f>
        <v/>
      </c>
      <c r="B232" s="15" t="n"/>
      <c r="C232" s="4" t="n"/>
      <c r="D232" s="4" t="n"/>
      <c r="E232" s="4" t="n"/>
      <c r="F232" s="16" t="n"/>
      <c r="G232" s="4" t="n"/>
      <c r="H232" s="4" t="n"/>
      <c r="I232" s="4" t="n"/>
      <c r="J232" s="4" t="n"/>
    </row>
    <row r="233">
      <c r="A233" s="14">
        <f>IF(F233&lt;&gt;"",ROW()-4,"")</f>
        <v/>
      </c>
      <c r="B233" s="15" t="n"/>
      <c r="C233" s="4" t="n"/>
      <c r="D233" s="4" t="n"/>
      <c r="E233" s="4" t="n"/>
      <c r="F233" s="16" t="n"/>
      <c r="G233" s="4" t="n"/>
      <c r="H233" s="4" t="n"/>
      <c r="I233" s="4" t="n"/>
      <c r="J233" s="4" t="n"/>
    </row>
    <row r="234">
      <c r="A234" s="18">
        <f>IF(F234&lt;&gt;"",ROW()-4,"")</f>
        <v/>
      </c>
      <c r="B234" s="15" t="n"/>
      <c r="C234" s="4" t="n"/>
      <c r="D234" s="4" t="n"/>
      <c r="E234" s="4" t="n"/>
      <c r="F234" s="16" t="n"/>
      <c r="G234" s="4" t="n"/>
      <c r="H234" s="4" t="n"/>
      <c r="I234" s="4" t="n"/>
      <c r="J234" s="4" t="n"/>
    </row>
    <row r="235">
      <c r="A235" s="14">
        <f>IF(F235&lt;&gt;"",ROW()-4,"")</f>
        <v/>
      </c>
      <c r="B235" s="15" t="n"/>
      <c r="C235" s="4" t="n"/>
      <c r="D235" s="4" t="n"/>
      <c r="E235" s="4" t="n"/>
      <c r="F235" s="16" t="n"/>
      <c r="G235" s="4" t="n"/>
      <c r="H235" s="4" t="n"/>
      <c r="I235" s="4" t="n"/>
      <c r="J235" s="4" t="n"/>
    </row>
    <row r="236">
      <c r="A236" s="18">
        <f>IF(F236&lt;&gt;"",ROW()-4,"")</f>
        <v/>
      </c>
      <c r="B236" s="15" t="n"/>
      <c r="C236" s="4" t="n"/>
      <c r="D236" s="4" t="n"/>
      <c r="E236" s="4" t="n"/>
      <c r="F236" s="16" t="n"/>
      <c r="G236" s="4" t="n"/>
      <c r="H236" s="4" t="n"/>
      <c r="I236" s="4" t="n"/>
      <c r="J236" s="4" t="n"/>
    </row>
    <row r="237">
      <c r="A237" s="14">
        <f>IF(F237&lt;&gt;"",ROW()-4,"")</f>
        <v/>
      </c>
      <c r="B237" s="15" t="n"/>
      <c r="C237" s="4" t="n"/>
      <c r="D237" s="4" t="n"/>
      <c r="E237" s="4" t="n"/>
      <c r="F237" s="16" t="n"/>
      <c r="G237" s="4" t="n"/>
      <c r="H237" s="4" t="n"/>
      <c r="I237" s="4" t="n"/>
      <c r="J237" s="4" t="n"/>
    </row>
    <row r="238">
      <c r="A238" s="18">
        <f>IF(F238&lt;&gt;"",ROW()-4,"")</f>
        <v/>
      </c>
      <c r="B238" s="15" t="n"/>
      <c r="C238" s="4" t="n"/>
      <c r="D238" s="4" t="n"/>
      <c r="E238" s="4" t="n"/>
      <c r="F238" s="16" t="n"/>
      <c r="G238" s="4" t="n"/>
      <c r="H238" s="4" t="n"/>
      <c r="I238" s="4" t="n"/>
      <c r="J238" s="4" t="n"/>
    </row>
    <row r="239">
      <c r="A239" s="14">
        <f>IF(F239&lt;&gt;"",ROW()-4,"")</f>
        <v/>
      </c>
      <c r="B239" s="15" t="n"/>
      <c r="C239" s="4" t="n"/>
      <c r="D239" s="4" t="n"/>
      <c r="E239" s="4" t="n"/>
      <c r="F239" s="16" t="n"/>
      <c r="G239" s="4" t="n"/>
      <c r="H239" s="4" t="n"/>
      <c r="I239" s="4" t="n"/>
      <c r="J239" s="4" t="n"/>
    </row>
    <row r="240">
      <c r="A240" s="18">
        <f>IF(F240&lt;&gt;"",ROW()-4,"")</f>
        <v/>
      </c>
      <c r="B240" s="15" t="n"/>
      <c r="C240" s="4" t="n"/>
      <c r="D240" s="4" t="n"/>
      <c r="E240" s="4" t="n"/>
      <c r="F240" s="16" t="n"/>
      <c r="G240" s="4" t="n"/>
      <c r="H240" s="4" t="n"/>
      <c r="I240" s="4" t="n"/>
      <c r="J240" s="4" t="n"/>
    </row>
    <row r="241">
      <c r="A241" s="14">
        <f>IF(F241&lt;&gt;"",ROW()-4,"")</f>
        <v/>
      </c>
      <c r="B241" s="15" t="n"/>
      <c r="C241" s="4" t="n"/>
      <c r="D241" s="4" t="n"/>
      <c r="E241" s="4" t="n"/>
      <c r="F241" s="16" t="n"/>
      <c r="G241" s="4" t="n"/>
      <c r="H241" s="4" t="n"/>
      <c r="I241" s="4" t="n"/>
      <c r="J241" s="4" t="n"/>
    </row>
    <row r="242">
      <c r="A242" s="18">
        <f>IF(F242&lt;&gt;"",ROW()-4,"")</f>
        <v/>
      </c>
      <c r="B242" s="15" t="n"/>
      <c r="C242" s="4" t="n"/>
      <c r="D242" s="4" t="n"/>
      <c r="E242" s="4" t="n"/>
      <c r="F242" s="16" t="n"/>
      <c r="G242" s="4" t="n"/>
      <c r="H242" s="4" t="n"/>
      <c r="I242" s="4" t="n"/>
      <c r="J242" s="4" t="n"/>
    </row>
    <row r="243">
      <c r="A243" s="14">
        <f>IF(F243&lt;&gt;"",ROW()-4,"")</f>
        <v/>
      </c>
      <c r="B243" s="15" t="n"/>
      <c r="C243" s="4" t="n"/>
      <c r="D243" s="4" t="n"/>
      <c r="E243" s="4" t="n"/>
      <c r="F243" s="16" t="n"/>
      <c r="G243" s="4" t="n"/>
      <c r="H243" s="4" t="n"/>
      <c r="I243" s="4" t="n"/>
      <c r="J243" s="4" t="n"/>
    </row>
    <row r="244">
      <c r="A244" s="18">
        <f>IF(F244&lt;&gt;"",ROW()-4,"")</f>
        <v/>
      </c>
      <c r="B244" s="15" t="n"/>
      <c r="C244" s="4" t="n"/>
      <c r="D244" s="4" t="n"/>
      <c r="E244" s="4" t="n"/>
      <c r="F244" s="16" t="n"/>
      <c r="G244" s="4" t="n"/>
      <c r="H244" s="4" t="n"/>
      <c r="I244" s="4" t="n"/>
      <c r="J244" s="4" t="n"/>
    </row>
    <row r="245">
      <c r="A245" s="14">
        <f>IF(F245&lt;&gt;"",ROW()-4,"")</f>
        <v/>
      </c>
      <c r="B245" s="15" t="n"/>
      <c r="C245" s="4" t="n"/>
      <c r="D245" s="4" t="n"/>
      <c r="E245" s="4" t="n"/>
      <c r="F245" s="16" t="n"/>
      <c r="G245" s="4" t="n"/>
      <c r="H245" s="4" t="n"/>
      <c r="I245" s="4" t="n"/>
      <c r="J245" s="4" t="n"/>
    </row>
    <row r="246">
      <c r="A246" s="18">
        <f>IF(F246&lt;&gt;"",ROW()-4,"")</f>
        <v/>
      </c>
      <c r="B246" s="15" t="n"/>
      <c r="C246" s="4" t="n"/>
      <c r="D246" s="4" t="n"/>
      <c r="E246" s="4" t="n"/>
      <c r="F246" s="16" t="n"/>
      <c r="G246" s="4" t="n"/>
      <c r="H246" s="4" t="n"/>
      <c r="I246" s="4" t="n"/>
      <c r="J246" s="4" t="n"/>
    </row>
    <row r="247">
      <c r="A247" s="14">
        <f>IF(F247&lt;&gt;"",ROW()-4,"")</f>
        <v/>
      </c>
      <c r="B247" s="15" t="n"/>
      <c r="C247" s="4" t="n"/>
      <c r="D247" s="4" t="n"/>
      <c r="E247" s="4" t="n"/>
      <c r="F247" s="16" t="n"/>
      <c r="G247" s="4" t="n"/>
      <c r="H247" s="4" t="n"/>
      <c r="I247" s="4" t="n"/>
      <c r="J247" s="4" t="n"/>
    </row>
    <row r="248">
      <c r="A248" s="18">
        <f>IF(F248&lt;&gt;"",ROW()-4,"")</f>
        <v/>
      </c>
      <c r="B248" s="15" t="n"/>
      <c r="C248" s="4" t="n"/>
      <c r="D248" s="4" t="n"/>
      <c r="E248" s="4" t="n"/>
      <c r="F248" s="16" t="n"/>
      <c r="G248" s="4" t="n"/>
      <c r="H248" s="4" t="n"/>
      <c r="I248" s="4" t="n"/>
      <c r="J248" s="4" t="n"/>
    </row>
    <row r="249">
      <c r="A249" s="14">
        <f>IF(F249&lt;&gt;"",ROW()-4,"")</f>
        <v/>
      </c>
      <c r="B249" s="15" t="n"/>
      <c r="C249" s="4" t="n"/>
      <c r="D249" s="4" t="n"/>
      <c r="E249" s="4" t="n"/>
      <c r="F249" s="16" t="n"/>
      <c r="G249" s="4" t="n"/>
      <c r="H249" s="4" t="n"/>
      <c r="I249" s="4" t="n"/>
      <c r="J249" s="4" t="n"/>
    </row>
    <row r="250">
      <c r="A250" s="18">
        <f>IF(F250&lt;&gt;"",ROW()-4,"")</f>
        <v/>
      </c>
      <c r="B250" s="15" t="n"/>
      <c r="C250" s="4" t="n"/>
      <c r="D250" s="4" t="n"/>
      <c r="E250" s="4" t="n"/>
      <c r="F250" s="16" t="n"/>
      <c r="G250" s="4" t="n"/>
      <c r="H250" s="4" t="n"/>
      <c r="I250" s="4" t="n"/>
      <c r="J250" s="4" t="n"/>
    </row>
    <row r="251">
      <c r="A251" s="14">
        <f>IF(F251&lt;&gt;"",ROW()-4,"")</f>
        <v/>
      </c>
      <c r="B251" s="15" t="n"/>
      <c r="C251" s="4" t="n"/>
      <c r="D251" s="4" t="n"/>
      <c r="E251" s="4" t="n"/>
      <c r="F251" s="16" t="n"/>
      <c r="G251" s="4" t="n"/>
      <c r="H251" s="4" t="n"/>
      <c r="I251" s="4" t="n"/>
      <c r="J251" s="4" t="n"/>
    </row>
    <row r="252">
      <c r="A252" s="18">
        <f>IF(F252&lt;&gt;"",ROW()-4,"")</f>
        <v/>
      </c>
      <c r="B252" s="15" t="n"/>
      <c r="C252" s="4" t="n"/>
      <c r="D252" s="4" t="n"/>
      <c r="E252" s="4" t="n"/>
      <c r="F252" s="16" t="n"/>
      <c r="G252" s="4" t="n"/>
      <c r="H252" s="4" t="n"/>
      <c r="I252" s="4" t="n"/>
      <c r="J252" s="4" t="n"/>
    </row>
    <row r="253">
      <c r="A253" s="14">
        <f>IF(F253&lt;&gt;"",ROW()-4,"")</f>
        <v/>
      </c>
      <c r="B253" s="15" t="n"/>
      <c r="C253" s="4" t="n"/>
      <c r="D253" s="4" t="n"/>
      <c r="E253" s="4" t="n"/>
      <c r="F253" s="16" t="n"/>
      <c r="G253" s="4" t="n"/>
      <c r="H253" s="4" t="n"/>
      <c r="I253" s="4" t="n"/>
      <c r="J253" s="4" t="n"/>
    </row>
    <row r="254">
      <c r="A254" s="18">
        <f>IF(F254&lt;&gt;"",ROW()-4,"")</f>
        <v/>
      </c>
      <c r="B254" s="15" t="n"/>
      <c r="C254" s="4" t="n"/>
      <c r="D254" s="4" t="n"/>
      <c r="E254" s="4" t="n"/>
      <c r="F254" s="16" t="n"/>
      <c r="G254" s="4" t="n"/>
      <c r="H254" s="4" t="n"/>
      <c r="I254" s="4" t="n"/>
      <c r="J254" s="4" t="n"/>
    </row>
    <row r="255">
      <c r="A255" s="14">
        <f>IF(F255&lt;&gt;"",ROW()-4,"")</f>
        <v/>
      </c>
      <c r="B255" s="15" t="n"/>
      <c r="C255" s="4" t="n"/>
      <c r="D255" s="4" t="n"/>
      <c r="E255" s="4" t="n"/>
      <c r="F255" s="16" t="n"/>
      <c r="G255" s="4" t="n"/>
      <c r="H255" s="4" t="n"/>
      <c r="I255" s="4" t="n"/>
      <c r="J255" s="4" t="n"/>
    </row>
    <row r="256" ht="24" customHeight="1">
      <c r="A256" s="19" t="inlineStr">
        <is>
          <t>TOTAL EXPENSES THIS MONTH</t>
        </is>
      </c>
      <c r="F256" s="11">
        <f>SUM(F5:F255)</f>
        <v/>
      </c>
      <c r="G256" s="12" t="n"/>
      <c r="H256" s="12" t="n"/>
      <c r="I256" s="12" t="n"/>
      <c r="J256" s="12" t="n"/>
    </row>
  </sheetData>
  <mergeCells count="3">
    <mergeCell ref="A1:J1"/>
    <mergeCell ref="A2:J2"/>
    <mergeCell ref="A256:E256"/>
  </mergeCells>
  <conditionalFormatting sqref="A5:J255">
    <cfRule type="expression" priority="1" dxfId="0">
      <formula>$D5="Fixed Bills"</formula>
    </cfRule>
    <cfRule type="expression" priority="2" dxfId="1">
      <formula>$D5="Food &amp; Dining"</formula>
    </cfRule>
    <cfRule type="expression" priority="3" dxfId="2">
      <formula>$D5="Transport &amp; Fuel"</formula>
    </cfRule>
    <cfRule type="expression" priority="4" dxfId="3">
      <formula>$D5="Shopping &amp; Clothing"</formula>
    </cfRule>
    <cfRule type="expression" priority="5" dxfId="4">
      <formula>$D5="Entertainment &amp; OTT"</formula>
    </cfRule>
    <cfRule type="expression" priority="6" dxfId="5">
      <formula>$D5="Groceries"</formula>
    </cfRule>
    <cfRule type="expression" priority="7" dxfId="6">
      <formula>$D5="Investment"</formula>
    </cfRule>
    <cfRule type="expression" priority="8" dxfId="7">
      <formula>$D5="Added to Savings"</formula>
    </cfRule>
    <cfRule type="expression" priority="9" dxfId="8">
      <formula>$D5="Credit Card Payment"</formula>
    </cfRule>
    <cfRule type="expression" priority="10" dxfId="9">
      <formula>$D5="Miscellaneous"</formula>
    </cfRule>
  </conditionalFormatting>
  <dataValidations count="5">
    <dataValidation sqref="D5:D255" showErrorMessage="1" showInputMessage="1" allowBlank="1" errorTitle="Invalid Category" error="Pick a category from the list" type="list">
      <formula1>_Lists!$A$1:$A$10</formula1>
    </dataValidation>
    <dataValidation sqref="E5:E255" showErrorMessage="1" showDropDown="0" showInputMessage="1" allowBlank="1" type="list">
      <formula1>_Lists!$O$1:$O$41</formula1>
    </dataValidation>
    <dataValidation sqref="G5:G255" showErrorMessage="1" showInputMessage="1" allowBlank="1" type="list">
      <formula1>_Lists!$Q$1:$Q$8</formula1>
    </dataValidation>
    <dataValidation sqref="H5:H255" showErrorMessage="1" showInputMessage="1" allowBlank="1" type="list">
      <formula1>Setup!$D$5:$D$9</formula1>
    </dataValidation>
    <dataValidation sqref="I5:I255" showErrorMessage="1" showInputMessage="1" allowBlank="1" type="list">
      <formula1>_Lists!$R$1:$R$10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22" customWidth="1" min="4" max="4"/>
    <col width="22" customWidth="1" min="5" max="5"/>
    <col width="14" customWidth="1" min="6" max="6"/>
    <col width="20" customWidth="1" min="7" max="7"/>
    <col width="20" customWidth="1" min="8" max="8"/>
    <col width="22" customWidth="1" min="9" max="9"/>
    <col width="22" customWidth="1" min="10" max="10"/>
    <col width="2" customWidth="1" min="11" max="11"/>
    <col width="26" customWidth="1" min="12" max="12"/>
    <col width="16" customWidth="1" min="13" max="13"/>
  </cols>
  <sheetData>
    <row r="1" ht="36" customHeight="1">
      <c r="A1" s="1" t="inlineStr">
        <is>
          <t>📝  JANUARY — EXPENSE LOG</t>
        </is>
      </c>
    </row>
    <row r="2" ht="32" customHeight="1">
      <c r="A2" s="13" t="inlineStr">
        <is>
          <t>ℹ️  Date is DateTime. Category dropdown → Sub-category changes automatically. 'Added to Savings' → pick your saving account in Sub-category. CC spend → pick card in 'CC Name'. CC payment → increases card limit.</t>
        </is>
      </c>
    </row>
    <row r="4" ht="28" customHeight="1">
      <c r="A4" s="3" t="inlineStr">
        <is>
          <t>#</t>
        </is>
      </c>
      <c r="B4" s="3" t="inlineStr">
        <is>
          <t>Date &amp; Time</t>
        </is>
      </c>
      <c r="C4" s="3" t="inlineStr">
        <is>
          <t>Description</t>
        </is>
      </c>
      <c r="D4" s="3" t="inlineStr">
        <is>
          <t>Category</t>
        </is>
      </c>
      <c r="E4" s="3" t="inlineStr">
        <is>
          <t>Sub-category</t>
        </is>
      </c>
      <c r="F4" s="3" t="inlineStr">
        <is>
          <t>Amount (₹)</t>
        </is>
      </c>
      <c r="G4" s="3" t="inlineStr">
        <is>
          <t>Paid From</t>
        </is>
      </c>
      <c r="H4" s="3" t="inlineStr">
        <is>
          <t>CC Name</t>
        </is>
      </c>
      <c r="I4" s="3" t="inlineStr">
        <is>
          <t>Account</t>
        </is>
      </c>
      <c r="J4" s="3" t="inlineStr">
        <is>
          <t>Notes</t>
        </is>
      </c>
      <c r="L4" s="3" t="inlineStr">
        <is>
          <t>📊  January Summary</t>
        </is>
      </c>
      <c r="M4" s="3" t="inlineStr">
        <is>
          <t>Amount (₹)</t>
        </is>
      </c>
    </row>
    <row r="5" ht="22" customHeight="1">
      <c r="A5" s="14">
        <f>IF(F5&lt;&gt;"",ROW()-4,"")</f>
        <v/>
      </c>
      <c r="B5" s="15" t="n"/>
      <c r="C5" s="4" t="n"/>
      <c r="D5" s="4" t="n"/>
      <c r="E5" s="4" t="n"/>
      <c r="F5" s="16" t="n"/>
      <c r="G5" s="4" t="n"/>
      <c r="H5" s="4" t="n"/>
      <c r="I5" s="4" t="n"/>
      <c r="J5" s="4" t="n"/>
      <c r="L5" s="17" t="inlineStr">
        <is>
          <t>Total Expenses</t>
        </is>
      </c>
      <c r="M5" s="9">
        <f>F256</f>
        <v/>
      </c>
    </row>
    <row r="6" ht="22" customHeight="1">
      <c r="A6" s="18">
        <f>IF(F6&lt;&gt;"",ROW()-4,"")</f>
        <v/>
      </c>
      <c r="B6" s="15" t="n"/>
      <c r="C6" s="4" t="n"/>
      <c r="D6" s="4" t="n"/>
      <c r="E6" s="4" t="n"/>
      <c r="F6" s="16" t="n"/>
      <c r="G6" s="4" t="n"/>
      <c r="H6" s="4" t="n"/>
      <c r="I6" s="4" t="n"/>
      <c r="J6" s="4" t="n"/>
      <c r="L6" s="17" t="inlineStr">
        <is>
          <t>Income This Month</t>
        </is>
      </c>
      <c r="M6" s="9">
        <f>Income!E13</f>
        <v/>
      </c>
    </row>
    <row r="7" ht="22" customHeight="1">
      <c r="A7" s="14">
        <f>IF(F7&lt;&gt;"",ROW()-4,"")</f>
        <v/>
      </c>
      <c r="B7" s="15" t="n"/>
      <c r="C7" s="4" t="n"/>
      <c r="D7" s="4" t="n"/>
      <c r="E7" s="4" t="n"/>
      <c r="F7" s="16" t="n"/>
      <c r="G7" s="4" t="n"/>
      <c r="H7" s="4" t="n"/>
      <c r="I7" s="4" t="n"/>
      <c r="J7" s="4" t="n"/>
      <c r="L7" s="17" t="inlineStr">
        <is>
          <t>Net This Month</t>
        </is>
      </c>
      <c r="M7" s="9">
        <f>M6-M5</f>
        <v/>
      </c>
    </row>
    <row r="8" ht="22" customHeight="1">
      <c r="A8" s="18">
        <f>IF(F8&lt;&gt;"",ROW()-4,"")</f>
        <v/>
      </c>
      <c r="B8" s="15" t="n"/>
      <c r="C8" s="4" t="n"/>
      <c r="D8" s="4" t="n"/>
      <c r="E8" s="4" t="n"/>
      <c r="F8" s="16" t="n"/>
      <c r="G8" s="4" t="n"/>
      <c r="H8" s="4" t="n"/>
      <c r="I8" s="4" t="n"/>
      <c r="J8" s="4" t="n"/>
      <c r="L8" s="17" t="inlineStr">
        <is>
          <t>Savings 1 (this month)</t>
        </is>
      </c>
      <c r="M8" s="9">
        <f>IF(Setup!A13&lt;&gt;"",SUMIFS(F5:F255,D5:D255,"Added to Savings",I5:I255,Setup!A13)-SUMIFS(F5:F255,G5:G255,Setup!A13),"")</f>
        <v/>
      </c>
    </row>
    <row r="9" ht="22" customHeight="1">
      <c r="A9" s="14">
        <f>IF(F9&lt;&gt;"",ROW()-4,"")</f>
        <v/>
      </c>
      <c r="B9" s="15" t="n"/>
      <c r="C9" s="4" t="n"/>
      <c r="D9" s="4" t="n"/>
      <c r="E9" s="4" t="n"/>
      <c r="F9" s="16" t="n"/>
      <c r="G9" s="4" t="n"/>
      <c r="H9" s="4" t="n"/>
      <c r="I9" s="4" t="n"/>
      <c r="J9" s="4" t="n"/>
      <c r="L9" s="17" t="inlineStr">
        <is>
          <t>Savings 1 (balance)</t>
        </is>
      </c>
      <c r="M9" s="9">
        <f>IF(Setup!A13&lt;&gt;"",Setup!B13+(SUMIFS('April'!F5:F64,'April'!D5:D64,"Added to Savings",'April'!I5:I64,Setup!A13)+SUMIFS('May'!F5:F64,'May'!D5:D64,"Added to Savings",'May'!I5:I64,Setup!A13)+SUMIFS('June'!F5:F64,'June'!D5:D64,"Added to Savings",'June'!I5:I64,Setup!A13)+SUMIFS('July'!F5:F64,'July'!D5:D64,"Added to Savings",'July'!I5:I64,Setup!A13)+SUMIFS('August'!F5:F64,'August'!D5:D64,"Added to Savings",'August'!I5:I64,Setup!A13)+SUMIFS('September'!F5:F64,'September'!D5:D64,"Added to Savings",'September'!I5:I64,Setup!A13)+SUMIFS('October'!F5:F64,'October'!D5:D64,"Added to Savings",'October'!I5:I64,Setup!A13)+SUMIFS('November'!F5:F64,'November'!D5:D64,"Added to Savings",'November'!I5:I64,Setup!A13)+SUMIFS('December'!F5:F64,'December'!D5:D64,"Added to Savings",'December'!I5:I64,Setup!A13)+SUMIFS('January'!F5:F64,'January'!D5:D64,"Added to Savings",'January'!I5:I64,Setup!A13))-(SUMIFS('April'!F5:F64,'April'!G5:G64,Setup!A13)+SUMIFS('May'!F5:F64,'May'!G5:G64,Setup!A13)+SUMIFS('June'!F5:F64,'June'!G5:G64,Setup!A13)+SUMIFS('July'!F5:F64,'July'!G5:G64,Setup!A13)+SUMIFS('August'!F5:F64,'August'!G5:G64,Setup!A13)+SUMIFS('September'!F5:F64,'September'!G5:G64,Setup!A13)+SUMIFS('October'!F5:F64,'October'!G5:G64,Setup!A13)+SUMIFS('November'!F5:F64,'November'!G5:G64,Setup!A13)+SUMIFS('December'!F5:F64,'December'!G5:G64,Setup!A13)+SUMIFS('January'!F5:F64,'January'!G5:G64,Setup!A13)),"")</f>
        <v/>
      </c>
    </row>
    <row r="10" ht="22" customHeight="1">
      <c r="A10" s="18">
        <f>IF(F10&lt;&gt;"",ROW()-4,"")</f>
        <v/>
      </c>
      <c r="B10" s="15" t="n"/>
      <c r="C10" s="4" t="n"/>
      <c r="D10" s="4" t="n"/>
      <c r="E10" s="4" t="n"/>
      <c r="F10" s="16" t="n"/>
      <c r="G10" s="4" t="n"/>
      <c r="H10" s="4" t="n"/>
      <c r="I10" s="4" t="n"/>
      <c r="J10" s="4" t="n"/>
      <c r="L10" s="17" t="inlineStr">
        <is>
          <t>Savings 2 (this month)</t>
        </is>
      </c>
      <c r="M10" s="9">
        <f>IF(Setup!A14&lt;&gt;"",SUMIFS(F5:F255,D5:D255,"Added to Savings",I5:I255,Setup!A14)-SUMIFS(F5:F255,G5:G255,Setup!A14),"")</f>
        <v/>
      </c>
    </row>
    <row r="11" ht="22" customHeight="1">
      <c r="A11" s="14">
        <f>IF(F11&lt;&gt;"",ROW()-4,"")</f>
        <v/>
      </c>
      <c r="B11" s="15" t="n"/>
      <c r="C11" s="4" t="n"/>
      <c r="D11" s="4" t="n"/>
      <c r="E11" s="4" t="n"/>
      <c r="F11" s="16" t="n"/>
      <c r="G11" s="4" t="n"/>
      <c r="H11" s="4" t="n"/>
      <c r="I11" s="4" t="n"/>
      <c r="J11" s="4" t="n"/>
      <c r="L11" s="17" t="inlineStr">
        <is>
          <t>Savings 2 (balance)</t>
        </is>
      </c>
      <c r="M11" s="9">
        <f>IF(Setup!A14&lt;&gt;"",Setup!B14+(SUMIFS('April'!F5:F64,'April'!D5:D64,"Added to Savings",'April'!I5:I64,Setup!A14)+SUMIFS('May'!F5:F64,'May'!D5:D64,"Added to Savings",'May'!I5:I64,Setup!A14)+SUMIFS('June'!F5:F64,'June'!D5:D64,"Added to Savings",'June'!I5:I64,Setup!A14)+SUMIFS('July'!F5:F64,'July'!D5:D64,"Added to Savings",'July'!I5:I64,Setup!A14)+SUMIFS('August'!F5:F64,'August'!D5:D64,"Added to Savings",'August'!I5:I64,Setup!A14)+SUMIFS('September'!F5:F64,'September'!D5:D64,"Added to Savings",'September'!I5:I64,Setup!A14)+SUMIFS('October'!F5:F64,'October'!D5:D64,"Added to Savings",'October'!I5:I64,Setup!A14)+SUMIFS('November'!F5:F64,'November'!D5:D64,"Added to Savings",'November'!I5:I64,Setup!A14)+SUMIFS('December'!F5:F64,'December'!D5:D64,"Added to Savings",'December'!I5:I64,Setup!A14)+SUMIFS('January'!F5:F64,'January'!D5:D64,"Added to Savings",'January'!I5:I64,Setup!A14))-(SUMIFS('April'!F5:F64,'April'!G5:G64,Setup!A14)+SUMIFS('May'!F5:F64,'May'!G5:G64,Setup!A14)+SUMIFS('June'!F5:F64,'June'!G5:G64,Setup!A14)+SUMIFS('July'!F5:F64,'July'!G5:G64,Setup!A14)+SUMIFS('August'!F5:F64,'August'!G5:G64,Setup!A14)+SUMIFS('September'!F5:F64,'September'!G5:G64,Setup!A14)+SUMIFS('October'!F5:F64,'October'!G5:G64,Setup!A14)+SUMIFS('November'!F5:F64,'November'!G5:G64,Setup!A14)+SUMIFS('December'!F5:F64,'December'!G5:G64,Setup!A14)+SUMIFS('January'!F5:F64,'January'!G5:G64,Setup!A14)),"")</f>
        <v/>
      </c>
    </row>
    <row r="12" ht="22" customHeight="1">
      <c r="A12" s="18">
        <f>IF(F12&lt;&gt;"",ROW()-4,"")</f>
        <v/>
      </c>
      <c r="B12" s="15" t="n"/>
      <c r="C12" s="4" t="n"/>
      <c r="D12" s="4" t="n"/>
      <c r="E12" s="4" t="n"/>
      <c r="F12" s="16" t="n"/>
      <c r="G12" s="4" t="n"/>
      <c r="H12" s="4" t="n"/>
      <c r="I12" s="4" t="n"/>
      <c r="J12" s="4" t="n"/>
      <c r="L12" s="17" t="inlineStr">
        <is>
          <t>Savings 3 (this month)</t>
        </is>
      </c>
      <c r="M12" s="9">
        <f>IF(Setup!A15&lt;&gt;"",SUMIFS(F5:F255,D5:D255,"Added to Savings",I5:I255,Setup!A15)-SUMIFS(F5:F255,G5:G255,Setup!A15),"")</f>
        <v/>
      </c>
    </row>
    <row r="13" ht="22" customHeight="1">
      <c r="A13" s="14">
        <f>IF(F13&lt;&gt;"",ROW()-4,"")</f>
        <v/>
      </c>
      <c r="B13" s="15" t="n"/>
      <c r="C13" s="4" t="n"/>
      <c r="D13" s="4" t="n"/>
      <c r="E13" s="4" t="n"/>
      <c r="F13" s="16" t="n"/>
      <c r="G13" s="4" t="n"/>
      <c r="H13" s="4" t="n"/>
      <c r="I13" s="4" t="n"/>
      <c r="J13" s="4" t="n"/>
      <c r="L13" s="17" t="inlineStr">
        <is>
          <t>Savings 3 (balance)</t>
        </is>
      </c>
      <c r="M13" s="9">
        <f>IF(Setup!A15&lt;&gt;"",Setup!B15+(SUMIFS('April'!F5:F64,'April'!D5:D64,"Added to Savings",'April'!I5:I64,Setup!A15)+SUMIFS('May'!F5:F64,'May'!D5:D64,"Added to Savings",'May'!I5:I64,Setup!A15)+SUMIFS('June'!F5:F64,'June'!D5:D64,"Added to Savings",'June'!I5:I64,Setup!A15)+SUMIFS('July'!F5:F64,'July'!D5:D64,"Added to Savings",'July'!I5:I64,Setup!A15)+SUMIFS('August'!F5:F64,'August'!D5:D64,"Added to Savings",'August'!I5:I64,Setup!A15)+SUMIFS('September'!F5:F64,'September'!D5:D64,"Added to Savings",'September'!I5:I64,Setup!A15)+SUMIFS('October'!F5:F64,'October'!D5:D64,"Added to Savings",'October'!I5:I64,Setup!A15)+SUMIFS('November'!F5:F64,'November'!D5:D64,"Added to Savings",'November'!I5:I64,Setup!A15)+SUMIFS('December'!F5:F64,'December'!D5:D64,"Added to Savings",'December'!I5:I64,Setup!A15)+SUMIFS('January'!F5:F64,'January'!D5:D64,"Added to Savings",'January'!I5:I64,Setup!A15))-(SUMIFS('April'!F5:F64,'April'!G5:G64,Setup!A15)+SUMIFS('May'!F5:F64,'May'!G5:G64,Setup!A15)+SUMIFS('June'!F5:F64,'June'!G5:G64,Setup!A15)+SUMIFS('July'!F5:F64,'July'!G5:G64,Setup!A15)+SUMIFS('August'!F5:F64,'August'!G5:G64,Setup!A15)+SUMIFS('September'!F5:F64,'September'!G5:G64,Setup!A15)+SUMIFS('October'!F5:F64,'October'!G5:G64,Setup!A15)+SUMIFS('November'!F5:F64,'November'!G5:G64,Setup!A15)+SUMIFS('December'!F5:F64,'December'!G5:G64,Setup!A15)+SUMIFS('January'!F5:F64,'January'!G5:G64,Setup!A15)),"")</f>
        <v/>
      </c>
    </row>
    <row r="14" ht="22" customHeight="1">
      <c r="A14" s="18">
        <f>IF(F14&lt;&gt;"",ROW()-4,"")</f>
        <v/>
      </c>
      <c r="B14" s="15" t="n"/>
      <c r="C14" s="4" t="n"/>
      <c r="D14" s="4" t="n"/>
      <c r="E14" s="4" t="n"/>
      <c r="F14" s="16" t="n"/>
      <c r="G14" s="4" t="n"/>
      <c r="H14" s="4" t="n"/>
      <c r="I14" s="4" t="n"/>
      <c r="J14" s="4" t="n"/>
      <c r="L14" s="17" t="inlineStr">
        <is>
          <t>Savings 4 (this month)</t>
        </is>
      </c>
      <c r="M14" s="9">
        <f>IF(Setup!A16&lt;&gt;"",SUMIFS(F5:F255,D5:D255,"Added to Savings",I5:I255,Setup!A16)-SUMIFS(F5:F255,G5:G255,Setup!A16),"")</f>
        <v/>
      </c>
    </row>
    <row r="15" ht="22" customHeight="1">
      <c r="A15" s="14">
        <f>IF(F15&lt;&gt;"",ROW()-4,"")</f>
        <v/>
      </c>
      <c r="B15" s="15" t="n"/>
      <c r="C15" s="4" t="n"/>
      <c r="D15" s="4" t="n"/>
      <c r="E15" s="4" t="n"/>
      <c r="F15" s="16" t="n"/>
      <c r="G15" s="4" t="n"/>
      <c r="H15" s="4" t="n"/>
      <c r="I15" s="4" t="n"/>
      <c r="J15" s="4" t="n"/>
      <c r="L15" s="17" t="inlineStr">
        <is>
          <t>Savings 4 (balance)</t>
        </is>
      </c>
      <c r="M15" s="9">
        <f>IF(Setup!A16&lt;&gt;"",Setup!B16+(SUMIFS('April'!F5:F64,'April'!D5:D64,"Added to Savings",'April'!I5:I64,Setup!A16)+SUMIFS('May'!F5:F64,'May'!D5:D64,"Added to Savings",'May'!I5:I64,Setup!A16)+SUMIFS('June'!F5:F64,'June'!D5:D64,"Added to Savings",'June'!I5:I64,Setup!A16)+SUMIFS('July'!F5:F64,'July'!D5:D64,"Added to Savings",'July'!I5:I64,Setup!A16)+SUMIFS('August'!F5:F64,'August'!D5:D64,"Added to Savings",'August'!I5:I64,Setup!A16)+SUMIFS('September'!F5:F64,'September'!D5:D64,"Added to Savings",'September'!I5:I64,Setup!A16)+SUMIFS('October'!F5:F64,'October'!D5:D64,"Added to Savings",'October'!I5:I64,Setup!A16)+SUMIFS('November'!F5:F64,'November'!D5:D64,"Added to Savings",'November'!I5:I64,Setup!A16)+SUMIFS('December'!F5:F64,'December'!D5:D64,"Added to Savings",'December'!I5:I64,Setup!A16)+SUMIFS('January'!F5:F64,'January'!D5:D64,"Added to Savings",'January'!I5:I64,Setup!A16))-(SUMIFS('April'!F5:F64,'April'!G5:G64,Setup!A16)+SUMIFS('May'!F5:F64,'May'!G5:G64,Setup!A16)+SUMIFS('June'!F5:F64,'June'!G5:G64,Setup!A16)+SUMIFS('July'!F5:F64,'July'!G5:G64,Setup!A16)+SUMIFS('August'!F5:F64,'August'!G5:G64,Setup!A16)+SUMIFS('September'!F5:F64,'September'!G5:G64,Setup!A16)+SUMIFS('October'!F5:F64,'October'!G5:G64,Setup!A16)+SUMIFS('November'!F5:F64,'November'!G5:G64,Setup!A16)+SUMIFS('December'!F5:F64,'December'!G5:G64,Setup!A16)+SUMIFS('January'!F5:F64,'January'!G5:G64,Setup!A16)),"")</f>
        <v/>
      </c>
    </row>
    <row r="16" ht="22" customHeight="1">
      <c r="A16" s="18">
        <f>IF(F16&lt;&gt;"",ROW()-4,"")</f>
        <v/>
      </c>
      <c r="B16" s="15" t="n"/>
      <c r="C16" s="4" t="n"/>
      <c r="D16" s="4" t="n"/>
      <c r="E16" s="4" t="n"/>
      <c r="F16" s="16" t="n"/>
      <c r="G16" s="4" t="n"/>
      <c r="H16" s="4" t="n"/>
      <c r="I16" s="4" t="n"/>
      <c r="J16" s="4" t="n"/>
      <c r="L16" s="17" t="inlineStr">
        <is>
          <t>Savings 5 (this month)</t>
        </is>
      </c>
      <c r="M16" s="9">
        <f>IF(Setup!A17&lt;&gt;"",SUMIFS(F5:F255,D5:D255,"Added to Savings",I5:I255,Setup!A17)-SUMIFS(F5:F255,G5:G255,Setup!A17),"")</f>
        <v/>
      </c>
    </row>
    <row r="17" ht="22" customHeight="1">
      <c r="A17" s="14">
        <f>IF(F17&lt;&gt;"",ROW()-4,"")</f>
        <v/>
      </c>
      <c r="B17" s="15" t="n"/>
      <c r="C17" s="4" t="n"/>
      <c r="D17" s="4" t="n"/>
      <c r="E17" s="4" t="n"/>
      <c r="F17" s="16" t="n"/>
      <c r="G17" s="4" t="n"/>
      <c r="H17" s="4" t="n"/>
      <c r="I17" s="4" t="n"/>
      <c r="J17" s="4" t="n"/>
      <c r="L17" s="17" t="inlineStr">
        <is>
          <t>Savings 5 (balance)</t>
        </is>
      </c>
      <c r="M17" s="9">
        <f>IF(Setup!A17&lt;&gt;"",Setup!B17+(SUMIFS('April'!F5:F64,'April'!D5:D64,"Added to Savings",'April'!I5:I64,Setup!A17)+SUMIFS('May'!F5:F64,'May'!D5:D64,"Added to Savings",'May'!I5:I64,Setup!A17)+SUMIFS('June'!F5:F64,'June'!D5:D64,"Added to Savings",'June'!I5:I64,Setup!A17)+SUMIFS('July'!F5:F64,'July'!D5:D64,"Added to Savings",'July'!I5:I64,Setup!A17)+SUMIFS('August'!F5:F64,'August'!D5:D64,"Added to Savings",'August'!I5:I64,Setup!A17)+SUMIFS('September'!F5:F64,'September'!D5:D64,"Added to Savings",'September'!I5:I64,Setup!A17)+SUMIFS('October'!F5:F64,'October'!D5:D64,"Added to Savings",'October'!I5:I64,Setup!A17)+SUMIFS('November'!F5:F64,'November'!D5:D64,"Added to Savings",'November'!I5:I64,Setup!A17)+SUMIFS('December'!F5:F64,'December'!D5:D64,"Added to Savings",'December'!I5:I64,Setup!A17)+SUMIFS('January'!F5:F64,'January'!D5:D64,"Added to Savings",'January'!I5:I64,Setup!A17))-(SUMIFS('April'!F5:F64,'April'!G5:G64,Setup!A17)+SUMIFS('May'!F5:F64,'May'!G5:G64,Setup!A17)+SUMIFS('June'!F5:F64,'June'!G5:G64,Setup!A17)+SUMIFS('July'!F5:F64,'July'!G5:G64,Setup!A17)+SUMIFS('August'!F5:F64,'August'!G5:G64,Setup!A17)+SUMIFS('September'!F5:F64,'September'!G5:G64,Setup!A17)+SUMIFS('October'!F5:F64,'October'!G5:G64,Setup!A17)+SUMIFS('November'!F5:F64,'November'!G5:G64,Setup!A17)+SUMIFS('December'!F5:F64,'December'!G5:G64,Setup!A17)+SUMIFS('January'!F5:F64,'January'!G5:G64,Setup!A17)),"")</f>
        <v/>
      </c>
    </row>
    <row r="18" ht="22" customHeight="1">
      <c r="A18" s="18">
        <f>IF(F18&lt;&gt;"",ROW()-4,"")</f>
        <v/>
      </c>
      <c r="B18" s="15" t="n"/>
      <c r="C18" s="4" t="n"/>
      <c r="D18" s="4" t="n"/>
      <c r="E18" s="4" t="n"/>
      <c r="F18" s="16" t="n"/>
      <c r="G18" s="4" t="n"/>
      <c r="H18" s="4" t="n"/>
      <c r="I18" s="4" t="n"/>
      <c r="J18" s="4" t="n"/>
      <c r="L18" s="17" t="inlineStr">
        <is>
          <t>Fixed Bills Paid</t>
        </is>
      </c>
      <c r="M18" s="9">
        <f>SUMIF(D5:D255,"Fixed Bills",F5:F255)</f>
        <v/>
      </c>
    </row>
    <row r="19" ht="22" customHeight="1">
      <c r="A19" s="14">
        <f>IF(F19&lt;&gt;"",ROW()-4,"")</f>
        <v/>
      </c>
      <c r="B19" s="15" t="n"/>
      <c r="C19" s="4" t="n"/>
      <c r="D19" s="4" t="n"/>
      <c r="E19" s="4" t="n"/>
      <c r="F19" s="16" t="n"/>
      <c r="G19" s="4" t="n"/>
      <c r="H19" s="4" t="n"/>
      <c r="I19" s="4" t="n"/>
      <c r="J19" s="4" t="n"/>
      <c r="L19" s="17" t="inlineStr">
        <is>
          <t>Food &amp; Dining</t>
        </is>
      </c>
      <c r="M19" s="9">
        <f>SUMIF(D5:D255,"Food &amp; Dining",F5:F255)</f>
        <v/>
      </c>
    </row>
    <row r="20" ht="22" customHeight="1">
      <c r="A20" s="18">
        <f>IF(F20&lt;&gt;"",ROW()-4,"")</f>
        <v/>
      </c>
      <c r="B20" s="15" t="n"/>
      <c r="C20" s="4" t="n"/>
      <c r="D20" s="4" t="n"/>
      <c r="E20" s="4" t="n"/>
      <c r="F20" s="16" t="n"/>
      <c r="G20" s="4" t="n"/>
      <c r="H20" s="4" t="n"/>
      <c r="I20" s="4" t="n"/>
      <c r="J20" s="4" t="n"/>
      <c r="L20" s="17" t="inlineStr">
        <is>
          <t>Transport</t>
        </is>
      </c>
      <c r="M20" s="9">
        <f>SUMIF(D5:D255,"Transport &amp; Fuel",F5:F255)</f>
        <v/>
      </c>
    </row>
    <row r="21" ht="22" customHeight="1">
      <c r="A21" s="14">
        <f>IF(F21&lt;&gt;"",ROW()-4,"")</f>
        <v/>
      </c>
      <c r="B21" s="15" t="n"/>
      <c r="C21" s="4" t="n"/>
      <c r="D21" s="4" t="n"/>
      <c r="E21" s="4" t="n"/>
      <c r="F21" s="16" t="n"/>
      <c r="G21" s="4" t="n"/>
      <c r="H21" s="4" t="n"/>
      <c r="I21" s="4" t="n"/>
      <c r="J21" s="4" t="n"/>
      <c r="L21" s="17" t="inlineStr">
        <is>
          <t>Groceries</t>
        </is>
      </c>
      <c r="M21" s="9">
        <f>SUMIF(D5:D255,"Groceries",F5:F255)</f>
        <v/>
      </c>
    </row>
    <row r="22" ht="22" customHeight="1">
      <c r="A22" s="18">
        <f>IF(F22&lt;&gt;"",ROW()-4,"")</f>
        <v/>
      </c>
      <c r="B22" s="15" t="n"/>
      <c r="C22" s="4" t="n"/>
      <c r="D22" s="4" t="n"/>
      <c r="E22" s="4" t="n"/>
      <c r="F22" s="16" t="n"/>
      <c r="G22" s="4" t="n"/>
      <c r="H22" s="4" t="n"/>
      <c r="I22" s="4" t="n"/>
      <c r="J22" s="4" t="n"/>
      <c r="L22" s="17" t="inlineStr">
        <is>
          <t>Shopping</t>
        </is>
      </c>
      <c r="M22" s="9">
        <f>SUMIF(D5:D255,"Shopping &amp; Clothing",F5:F255)</f>
        <v/>
      </c>
    </row>
    <row r="23" ht="22" customHeight="1">
      <c r="A23" s="14">
        <f>IF(F23&lt;&gt;"",ROW()-4,"")</f>
        <v/>
      </c>
      <c r="B23" s="15" t="n"/>
      <c r="C23" s="4" t="n"/>
      <c r="D23" s="4" t="n"/>
      <c r="E23" s="4" t="n"/>
      <c r="F23" s="16" t="n"/>
      <c r="G23" s="4" t="n"/>
      <c r="H23" s="4" t="n"/>
      <c r="I23" s="4" t="n"/>
      <c r="J23" s="4" t="n"/>
      <c r="L23" s="17" t="inlineStr">
        <is>
          <t>Entertainment</t>
        </is>
      </c>
      <c r="M23" s="9">
        <f>SUMIF(D5:D255,"Entertainment &amp; OTT",F5:F255)</f>
        <v/>
      </c>
    </row>
    <row r="24" ht="22" customHeight="1">
      <c r="A24" s="18">
        <f>IF(F24&lt;&gt;"",ROW()-4,"")</f>
        <v/>
      </c>
      <c r="B24" s="15" t="n"/>
      <c r="C24" s="4" t="n"/>
      <c r="D24" s="4" t="n"/>
      <c r="E24" s="4" t="n"/>
      <c r="F24" s="16" t="n"/>
      <c r="G24" s="4" t="n"/>
      <c r="H24" s="4" t="n"/>
      <c r="I24" s="4" t="n"/>
      <c r="J24" s="4" t="n"/>
      <c r="L24" s="17" t="inlineStr">
        <is>
          <t>Investment</t>
        </is>
      </c>
      <c r="M24" s="9">
        <f>SUMIF(D5:D255,"Investment",F5:F255)</f>
        <v/>
      </c>
    </row>
    <row r="25" ht="22" customHeight="1">
      <c r="A25" s="14">
        <f>IF(F25&lt;&gt;"",ROW()-4,"")</f>
        <v/>
      </c>
      <c r="B25" s="15" t="n"/>
      <c r="C25" s="4" t="n"/>
      <c r="D25" s="4" t="n"/>
      <c r="E25" s="4" t="n"/>
      <c r="F25" s="16" t="n"/>
      <c r="G25" s="4" t="n"/>
      <c r="H25" s="4" t="n"/>
      <c r="I25" s="4" t="n"/>
      <c r="J25" s="4" t="n"/>
      <c r="L25" s="17" t="inlineStr">
        <is>
          <t>Added to Savings</t>
        </is>
      </c>
      <c r="M25" s="9">
        <f>SUMIF(D5:D255,"Added to Savings",F5:F255)</f>
        <v/>
      </c>
    </row>
    <row r="26" ht="22" customHeight="1">
      <c r="A26" s="18">
        <f>IF(F26&lt;&gt;"",ROW()-4,"")</f>
        <v/>
      </c>
      <c r="B26" s="15" t="n"/>
      <c r="C26" s="4" t="n"/>
      <c r="D26" s="4" t="n"/>
      <c r="E26" s="4" t="n"/>
      <c r="F26" s="16" t="n"/>
      <c r="G26" s="4" t="n"/>
      <c r="H26" s="4" t="n"/>
      <c r="I26" s="4" t="n"/>
      <c r="J26" s="4" t="n"/>
      <c r="L26" s="17" t="inlineStr">
        <is>
          <t>CC Payments</t>
        </is>
      </c>
      <c r="M26" s="9">
        <f>SUMIF(D5:D255,"Credit Card Payment",F5:F255)</f>
        <v/>
      </c>
    </row>
    <row r="27" ht="22" customHeight="1">
      <c r="A27" s="14">
        <f>IF(F27&lt;&gt;"",ROW()-4,"")</f>
        <v/>
      </c>
      <c r="B27" s="15" t="n"/>
      <c r="C27" s="4" t="n"/>
      <c r="D27" s="4" t="n"/>
      <c r="E27" s="4" t="n"/>
      <c r="F27" s="16" t="n"/>
      <c r="G27" s="4" t="n"/>
      <c r="H27" s="4" t="n"/>
      <c r="I27" s="4" t="n"/>
      <c r="J27" s="4" t="n"/>
      <c r="L27" s="17" t="inlineStr">
        <is>
          <t>Miscellaneous</t>
        </is>
      </c>
      <c r="M27" s="9">
        <f>SUMIF(D5:D255,"Miscellaneous",F5:F255)</f>
        <v/>
      </c>
    </row>
    <row r="28">
      <c r="A28" s="18">
        <f>IF(F28&lt;&gt;"",ROW()-4,"")</f>
        <v/>
      </c>
      <c r="B28" s="15" t="n"/>
      <c r="C28" s="4" t="n"/>
      <c r="D28" s="4" t="n"/>
      <c r="E28" s="4" t="n"/>
      <c r="F28" s="16" t="n"/>
      <c r="G28" s="4" t="n"/>
      <c r="H28" s="4" t="n"/>
      <c r="I28" s="4" t="n"/>
      <c r="J28" s="4" t="n"/>
    </row>
    <row r="29">
      <c r="A29" s="14">
        <f>IF(F29&lt;&gt;"",ROW()-4,"")</f>
        <v/>
      </c>
      <c r="B29" s="15" t="n"/>
      <c r="C29" s="4" t="n"/>
      <c r="D29" s="4" t="n"/>
      <c r="E29" s="4" t="n"/>
      <c r="F29" s="16" t="n"/>
      <c r="G29" s="4" t="n"/>
      <c r="H29" s="4" t="n"/>
      <c r="I29" s="4" t="n"/>
      <c r="J29" s="4" t="n"/>
    </row>
    <row r="30">
      <c r="A30" s="18">
        <f>IF(F30&lt;&gt;"",ROW()-4,"")</f>
        <v/>
      </c>
      <c r="B30" s="15" t="n"/>
      <c r="C30" s="4" t="n"/>
      <c r="D30" s="4" t="n"/>
      <c r="E30" s="4" t="n"/>
      <c r="F30" s="16" t="n"/>
      <c r="G30" s="4" t="n"/>
      <c r="H30" s="4" t="n"/>
      <c r="I30" s="4" t="n"/>
      <c r="J30" s="4" t="n"/>
    </row>
    <row r="31">
      <c r="A31" s="14">
        <f>IF(F31&lt;&gt;"",ROW()-4,"")</f>
        <v/>
      </c>
      <c r="B31" s="15" t="n"/>
      <c r="C31" s="4" t="n"/>
      <c r="D31" s="4" t="n"/>
      <c r="E31" s="4" t="n"/>
      <c r="F31" s="16" t="n"/>
      <c r="G31" s="4" t="n"/>
      <c r="H31" s="4" t="n"/>
      <c r="I31" s="4" t="n"/>
      <c r="J31" s="4" t="n"/>
    </row>
    <row r="32">
      <c r="A32" s="18">
        <f>IF(F32&lt;&gt;"",ROW()-4,"")</f>
        <v/>
      </c>
      <c r="B32" s="15" t="n"/>
      <c r="C32" s="4" t="n"/>
      <c r="D32" s="4" t="n"/>
      <c r="E32" s="4" t="n"/>
      <c r="F32" s="16" t="n"/>
      <c r="G32" s="4" t="n"/>
      <c r="H32" s="4" t="n"/>
      <c r="I32" s="4" t="n"/>
      <c r="J32" s="4" t="n"/>
    </row>
    <row r="33">
      <c r="A33" s="14">
        <f>IF(F33&lt;&gt;"",ROW()-4,"")</f>
        <v/>
      </c>
      <c r="B33" s="15" t="n"/>
      <c r="C33" s="4" t="n"/>
      <c r="D33" s="4" t="n"/>
      <c r="E33" s="4" t="n"/>
      <c r="F33" s="16" t="n"/>
      <c r="G33" s="4" t="n"/>
      <c r="H33" s="4" t="n"/>
      <c r="I33" s="4" t="n"/>
      <c r="J33" s="4" t="n"/>
    </row>
    <row r="34">
      <c r="A34" s="18">
        <f>IF(F34&lt;&gt;"",ROW()-4,"")</f>
        <v/>
      </c>
      <c r="B34" s="15" t="n"/>
      <c r="C34" s="4" t="n"/>
      <c r="D34" s="4" t="n"/>
      <c r="E34" s="4" t="n"/>
      <c r="F34" s="16" t="n"/>
      <c r="G34" s="4" t="n"/>
      <c r="H34" s="4" t="n"/>
      <c r="I34" s="4" t="n"/>
      <c r="J34" s="4" t="n"/>
    </row>
    <row r="35">
      <c r="A35" s="14">
        <f>IF(F35&lt;&gt;"",ROW()-4,"")</f>
        <v/>
      </c>
      <c r="B35" s="15" t="n"/>
      <c r="C35" s="4" t="n"/>
      <c r="D35" s="4" t="n"/>
      <c r="E35" s="4" t="n"/>
      <c r="F35" s="16" t="n"/>
      <c r="G35" s="4" t="n"/>
      <c r="H35" s="4" t="n"/>
      <c r="I35" s="4" t="n"/>
      <c r="J35" s="4" t="n"/>
    </row>
    <row r="36">
      <c r="A36" s="18">
        <f>IF(F36&lt;&gt;"",ROW()-4,"")</f>
        <v/>
      </c>
      <c r="B36" s="15" t="n"/>
      <c r="C36" s="4" t="n"/>
      <c r="D36" s="4" t="n"/>
      <c r="E36" s="4" t="n"/>
      <c r="F36" s="16" t="n"/>
      <c r="G36" s="4" t="n"/>
      <c r="H36" s="4" t="n"/>
      <c r="I36" s="4" t="n"/>
      <c r="J36" s="4" t="n"/>
    </row>
    <row r="37">
      <c r="A37" s="14">
        <f>IF(F37&lt;&gt;"",ROW()-4,"")</f>
        <v/>
      </c>
      <c r="B37" s="15" t="n"/>
      <c r="C37" s="4" t="n"/>
      <c r="D37" s="4" t="n"/>
      <c r="E37" s="4" t="n"/>
      <c r="F37" s="16" t="n"/>
      <c r="G37" s="4" t="n"/>
      <c r="H37" s="4" t="n"/>
      <c r="I37" s="4" t="n"/>
      <c r="J37" s="4" t="n"/>
    </row>
    <row r="38">
      <c r="A38" s="18">
        <f>IF(F38&lt;&gt;"",ROW()-4,"")</f>
        <v/>
      </c>
      <c r="B38" s="15" t="n"/>
      <c r="C38" s="4" t="n"/>
      <c r="D38" s="4" t="n"/>
      <c r="E38" s="4" t="n"/>
      <c r="F38" s="16" t="n"/>
      <c r="G38" s="4" t="n"/>
      <c r="H38" s="4" t="n"/>
      <c r="I38" s="4" t="n"/>
      <c r="J38" s="4" t="n"/>
    </row>
    <row r="39">
      <c r="A39" s="14">
        <f>IF(F39&lt;&gt;"",ROW()-4,"")</f>
        <v/>
      </c>
      <c r="B39" s="15" t="n"/>
      <c r="C39" s="4" t="n"/>
      <c r="D39" s="4" t="n"/>
      <c r="E39" s="4" t="n"/>
      <c r="F39" s="16" t="n"/>
      <c r="G39" s="4" t="n"/>
      <c r="H39" s="4" t="n"/>
      <c r="I39" s="4" t="n"/>
      <c r="J39" s="4" t="n"/>
    </row>
    <row r="40">
      <c r="A40" s="18">
        <f>IF(F40&lt;&gt;"",ROW()-4,"")</f>
        <v/>
      </c>
      <c r="B40" s="15" t="n"/>
      <c r="C40" s="4" t="n"/>
      <c r="D40" s="4" t="n"/>
      <c r="E40" s="4" t="n"/>
      <c r="F40" s="16" t="n"/>
      <c r="G40" s="4" t="n"/>
      <c r="H40" s="4" t="n"/>
      <c r="I40" s="4" t="n"/>
      <c r="J40" s="4" t="n"/>
    </row>
    <row r="41">
      <c r="A41" s="14">
        <f>IF(F41&lt;&gt;"",ROW()-4,"")</f>
        <v/>
      </c>
      <c r="B41" s="15" t="n"/>
      <c r="C41" s="4" t="n"/>
      <c r="D41" s="4" t="n"/>
      <c r="E41" s="4" t="n"/>
      <c r="F41" s="16" t="n"/>
      <c r="G41" s="4" t="n"/>
      <c r="H41" s="4" t="n"/>
      <c r="I41" s="4" t="n"/>
      <c r="J41" s="4" t="n"/>
    </row>
    <row r="42">
      <c r="A42" s="18">
        <f>IF(F42&lt;&gt;"",ROW()-4,"")</f>
        <v/>
      </c>
      <c r="B42" s="15" t="n"/>
      <c r="C42" s="4" t="n"/>
      <c r="D42" s="4" t="n"/>
      <c r="E42" s="4" t="n"/>
      <c r="F42" s="16" t="n"/>
      <c r="G42" s="4" t="n"/>
      <c r="H42" s="4" t="n"/>
      <c r="I42" s="4" t="n"/>
      <c r="J42" s="4" t="n"/>
    </row>
    <row r="43">
      <c r="A43" s="14">
        <f>IF(F43&lt;&gt;"",ROW()-4,"")</f>
        <v/>
      </c>
      <c r="B43" s="15" t="n"/>
      <c r="C43" s="4" t="n"/>
      <c r="D43" s="4" t="n"/>
      <c r="E43" s="4" t="n"/>
      <c r="F43" s="16" t="n"/>
      <c r="G43" s="4" t="n"/>
      <c r="H43" s="4" t="n"/>
      <c r="I43" s="4" t="n"/>
      <c r="J43" s="4" t="n"/>
    </row>
    <row r="44">
      <c r="A44" s="18">
        <f>IF(F44&lt;&gt;"",ROW()-4,"")</f>
        <v/>
      </c>
      <c r="B44" s="15" t="n"/>
      <c r="C44" s="4" t="n"/>
      <c r="D44" s="4" t="n"/>
      <c r="E44" s="4" t="n"/>
      <c r="F44" s="16" t="n"/>
      <c r="G44" s="4" t="n"/>
      <c r="H44" s="4" t="n"/>
      <c r="I44" s="4" t="n"/>
      <c r="J44" s="4" t="n"/>
    </row>
    <row r="45">
      <c r="A45" s="14">
        <f>IF(F45&lt;&gt;"",ROW()-4,"")</f>
        <v/>
      </c>
      <c r="B45" s="15" t="n"/>
      <c r="C45" s="4" t="n"/>
      <c r="D45" s="4" t="n"/>
      <c r="E45" s="4" t="n"/>
      <c r="F45" s="16" t="n"/>
      <c r="G45" s="4" t="n"/>
      <c r="H45" s="4" t="n"/>
      <c r="I45" s="4" t="n"/>
      <c r="J45" s="4" t="n"/>
    </row>
    <row r="46">
      <c r="A46" s="18">
        <f>IF(F46&lt;&gt;"",ROW()-4,"")</f>
        <v/>
      </c>
      <c r="B46" s="15" t="n"/>
      <c r="C46" s="4" t="n"/>
      <c r="D46" s="4" t="n"/>
      <c r="E46" s="4" t="n"/>
      <c r="F46" s="16" t="n"/>
      <c r="G46" s="4" t="n"/>
      <c r="H46" s="4" t="n"/>
      <c r="I46" s="4" t="n"/>
      <c r="J46" s="4" t="n"/>
    </row>
    <row r="47">
      <c r="A47" s="14">
        <f>IF(F47&lt;&gt;"",ROW()-4,"")</f>
        <v/>
      </c>
      <c r="B47" s="15" t="n"/>
      <c r="C47" s="4" t="n"/>
      <c r="D47" s="4" t="n"/>
      <c r="E47" s="4" t="n"/>
      <c r="F47" s="16" t="n"/>
      <c r="G47" s="4" t="n"/>
      <c r="H47" s="4" t="n"/>
      <c r="I47" s="4" t="n"/>
      <c r="J47" s="4" t="n"/>
    </row>
    <row r="48">
      <c r="A48" s="18">
        <f>IF(F48&lt;&gt;"",ROW()-4,"")</f>
        <v/>
      </c>
      <c r="B48" s="15" t="n"/>
      <c r="C48" s="4" t="n"/>
      <c r="D48" s="4" t="n"/>
      <c r="E48" s="4" t="n"/>
      <c r="F48" s="16" t="n"/>
      <c r="G48" s="4" t="n"/>
      <c r="H48" s="4" t="n"/>
      <c r="I48" s="4" t="n"/>
      <c r="J48" s="4" t="n"/>
    </row>
    <row r="49">
      <c r="A49" s="14">
        <f>IF(F49&lt;&gt;"",ROW()-4,"")</f>
        <v/>
      </c>
      <c r="B49" s="15" t="n"/>
      <c r="C49" s="4" t="n"/>
      <c r="D49" s="4" t="n"/>
      <c r="E49" s="4" t="n"/>
      <c r="F49" s="16" t="n"/>
      <c r="G49" s="4" t="n"/>
      <c r="H49" s="4" t="n"/>
      <c r="I49" s="4" t="n"/>
      <c r="J49" s="4" t="n"/>
    </row>
    <row r="50">
      <c r="A50" s="18">
        <f>IF(F50&lt;&gt;"",ROW()-4,"")</f>
        <v/>
      </c>
      <c r="B50" s="15" t="n"/>
      <c r="C50" s="4" t="n"/>
      <c r="D50" s="4" t="n"/>
      <c r="E50" s="4" t="n"/>
      <c r="F50" s="16" t="n"/>
      <c r="G50" s="4" t="n"/>
      <c r="H50" s="4" t="n"/>
      <c r="I50" s="4" t="n"/>
      <c r="J50" s="4" t="n"/>
    </row>
    <row r="51">
      <c r="A51" s="14">
        <f>IF(F51&lt;&gt;"",ROW()-4,"")</f>
        <v/>
      </c>
      <c r="B51" s="15" t="n"/>
      <c r="C51" s="4" t="n"/>
      <c r="D51" s="4" t="n"/>
      <c r="E51" s="4" t="n"/>
      <c r="F51" s="16" t="n"/>
      <c r="G51" s="4" t="n"/>
      <c r="H51" s="4" t="n"/>
      <c r="I51" s="4" t="n"/>
      <c r="J51" s="4" t="n"/>
    </row>
    <row r="52">
      <c r="A52" s="18">
        <f>IF(F52&lt;&gt;"",ROW()-4,"")</f>
        <v/>
      </c>
      <c r="B52" s="15" t="n"/>
      <c r="C52" s="4" t="n"/>
      <c r="D52" s="4" t="n"/>
      <c r="E52" s="4" t="n"/>
      <c r="F52" s="16" t="n"/>
      <c r="G52" s="4" t="n"/>
      <c r="H52" s="4" t="n"/>
      <c r="I52" s="4" t="n"/>
      <c r="J52" s="4" t="n"/>
    </row>
    <row r="53">
      <c r="A53" s="14">
        <f>IF(F53&lt;&gt;"",ROW()-4,"")</f>
        <v/>
      </c>
      <c r="B53" s="15" t="n"/>
      <c r="C53" s="4" t="n"/>
      <c r="D53" s="4" t="n"/>
      <c r="E53" s="4" t="n"/>
      <c r="F53" s="16" t="n"/>
      <c r="G53" s="4" t="n"/>
      <c r="H53" s="4" t="n"/>
      <c r="I53" s="4" t="n"/>
      <c r="J53" s="4" t="n"/>
    </row>
    <row r="54">
      <c r="A54" s="18">
        <f>IF(F54&lt;&gt;"",ROW()-4,"")</f>
        <v/>
      </c>
      <c r="B54" s="15" t="n"/>
      <c r="C54" s="4" t="n"/>
      <c r="D54" s="4" t="n"/>
      <c r="E54" s="4" t="n"/>
      <c r="F54" s="16" t="n"/>
      <c r="G54" s="4" t="n"/>
      <c r="H54" s="4" t="n"/>
      <c r="I54" s="4" t="n"/>
      <c r="J54" s="4" t="n"/>
    </row>
    <row r="55">
      <c r="A55" s="14">
        <f>IF(F55&lt;&gt;"",ROW()-4,"")</f>
        <v/>
      </c>
      <c r="B55" s="15" t="n"/>
      <c r="C55" s="4" t="n"/>
      <c r="D55" s="4" t="n"/>
      <c r="E55" s="4" t="n"/>
      <c r="F55" s="16" t="n"/>
      <c r="G55" s="4" t="n"/>
      <c r="H55" s="4" t="n"/>
      <c r="I55" s="4" t="n"/>
      <c r="J55" s="4" t="n"/>
    </row>
    <row r="56">
      <c r="A56" s="18">
        <f>IF(F56&lt;&gt;"",ROW()-4,"")</f>
        <v/>
      </c>
      <c r="B56" s="15" t="n"/>
      <c r="C56" s="4" t="n"/>
      <c r="D56" s="4" t="n"/>
      <c r="E56" s="4" t="n"/>
      <c r="F56" s="16" t="n"/>
      <c r="G56" s="4" t="n"/>
      <c r="H56" s="4" t="n"/>
      <c r="I56" s="4" t="n"/>
      <c r="J56" s="4" t="n"/>
    </row>
    <row r="57">
      <c r="A57" s="14">
        <f>IF(F57&lt;&gt;"",ROW()-4,"")</f>
        <v/>
      </c>
      <c r="B57" s="15" t="n"/>
      <c r="C57" s="4" t="n"/>
      <c r="D57" s="4" t="n"/>
      <c r="E57" s="4" t="n"/>
      <c r="F57" s="16" t="n"/>
      <c r="G57" s="4" t="n"/>
      <c r="H57" s="4" t="n"/>
      <c r="I57" s="4" t="n"/>
      <c r="J57" s="4" t="n"/>
    </row>
    <row r="58">
      <c r="A58" s="18">
        <f>IF(F58&lt;&gt;"",ROW()-4,"")</f>
        <v/>
      </c>
      <c r="B58" s="15" t="n"/>
      <c r="C58" s="4" t="n"/>
      <c r="D58" s="4" t="n"/>
      <c r="E58" s="4" t="n"/>
      <c r="F58" s="16" t="n"/>
      <c r="G58" s="4" t="n"/>
      <c r="H58" s="4" t="n"/>
      <c r="I58" s="4" t="n"/>
      <c r="J58" s="4" t="n"/>
    </row>
    <row r="59">
      <c r="A59" s="14">
        <f>IF(F59&lt;&gt;"",ROW()-4,"")</f>
        <v/>
      </c>
      <c r="B59" s="15" t="n"/>
      <c r="C59" s="4" t="n"/>
      <c r="D59" s="4" t="n"/>
      <c r="E59" s="4" t="n"/>
      <c r="F59" s="16" t="n"/>
      <c r="G59" s="4" t="n"/>
      <c r="H59" s="4" t="n"/>
      <c r="I59" s="4" t="n"/>
      <c r="J59" s="4" t="n"/>
    </row>
    <row r="60">
      <c r="A60" s="18">
        <f>IF(F60&lt;&gt;"",ROW()-4,"")</f>
        <v/>
      </c>
      <c r="B60" s="15" t="n"/>
      <c r="C60" s="4" t="n"/>
      <c r="D60" s="4" t="n"/>
      <c r="E60" s="4" t="n"/>
      <c r="F60" s="16" t="n"/>
      <c r="G60" s="4" t="n"/>
      <c r="H60" s="4" t="n"/>
      <c r="I60" s="4" t="n"/>
      <c r="J60" s="4" t="n"/>
    </row>
    <row r="61">
      <c r="A61" s="14">
        <f>IF(F61&lt;&gt;"",ROW()-4,"")</f>
        <v/>
      </c>
      <c r="B61" s="15" t="n"/>
      <c r="C61" s="4" t="n"/>
      <c r="D61" s="4" t="n"/>
      <c r="E61" s="4" t="n"/>
      <c r="F61" s="16" t="n"/>
      <c r="G61" s="4" t="n"/>
      <c r="H61" s="4" t="n"/>
      <c r="I61" s="4" t="n"/>
      <c r="J61" s="4" t="n"/>
    </row>
    <row r="62">
      <c r="A62" s="18">
        <f>IF(F62&lt;&gt;"",ROW()-4,"")</f>
        <v/>
      </c>
      <c r="B62" s="15" t="n"/>
      <c r="C62" s="4" t="n"/>
      <c r="D62" s="4" t="n"/>
      <c r="E62" s="4" t="n"/>
      <c r="F62" s="16" t="n"/>
      <c r="G62" s="4" t="n"/>
      <c r="H62" s="4" t="n"/>
      <c r="I62" s="4" t="n"/>
      <c r="J62" s="4" t="n"/>
    </row>
    <row r="63">
      <c r="A63" s="14">
        <f>IF(F63&lt;&gt;"",ROW()-4,"")</f>
        <v/>
      </c>
      <c r="B63" s="15" t="n"/>
      <c r="C63" s="4" t="n"/>
      <c r="D63" s="4" t="n"/>
      <c r="E63" s="4" t="n"/>
      <c r="F63" s="16" t="n"/>
      <c r="G63" s="4" t="n"/>
      <c r="H63" s="4" t="n"/>
      <c r="I63" s="4" t="n"/>
      <c r="J63" s="4" t="n"/>
    </row>
    <row r="64">
      <c r="A64" s="18">
        <f>IF(F64&lt;&gt;"",ROW()-4,"")</f>
        <v/>
      </c>
      <c r="B64" s="15" t="n"/>
      <c r="C64" s="4" t="n"/>
      <c r="D64" s="4" t="n"/>
      <c r="E64" s="4" t="n"/>
      <c r="F64" s="16" t="n"/>
      <c r="G64" s="4" t="n"/>
      <c r="H64" s="4" t="n"/>
      <c r="I64" s="4" t="n"/>
      <c r="J64" s="4" t="n"/>
    </row>
    <row r="65">
      <c r="A65" s="14">
        <f>IF(F65&lt;&gt;"",ROW()-4,"")</f>
        <v/>
      </c>
      <c r="B65" s="15" t="n"/>
      <c r="C65" s="4" t="n"/>
      <c r="D65" s="4" t="n"/>
      <c r="E65" s="4" t="n"/>
      <c r="F65" s="16" t="n"/>
      <c r="G65" s="4" t="n"/>
      <c r="H65" s="4" t="n"/>
      <c r="I65" s="4" t="n"/>
      <c r="J65" s="4" t="n"/>
    </row>
    <row r="66">
      <c r="A66" s="18">
        <f>IF(F66&lt;&gt;"",ROW()-4,"")</f>
        <v/>
      </c>
      <c r="B66" s="15" t="n"/>
      <c r="C66" s="4" t="n"/>
      <c r="D66" s="4" t="n"/>
      <c r="E66" s="4" t="n"/>
      <c r="F66" s="16" t="n"/>
      <c r="G66" s="4" t="n"/>
      <c r="H66" s="4" t="n"/>
      <c r="I66" s="4" t="n"/>
      <c r="J66" s="4" t="n"/>
    </row>
    <row r="67">
      <c r="A67" s="14">
        <f>IF(F67&lt;&gt;"",ROW()-4,"")</f>
        <v/>
      </c>
      <c r="B67" s="15" t="n"/>
      <c r="C67" s="4" t="n"/>
      <c r="D67" s="4" t="n"/>
      <c r="E67" s="4" t="n"/>
      <c r="F67" s="16" t="n"/>
      <c r="G67" s="4" t="n"/>
      <c r="H67" s="4" t="n"/>
      <c r="I67" s="4" t="n"/>
      <c r="J67" s="4" t="n"/>
    </row>
    <row r="68">
      <c r="A68" s="18">
        <f>IF(F68&lt;&gt;"",ROW()-4,"")</f>
        <v/>
      </c>
      <c r="B68" s="15" t="n"/>
      <c r="C68" s="4" t="n"/>
      <c r="D68" s="4" t="n"/>
      <c r="E68" s="4" t="n"/>
      <c r="F68" s="16" t="n"/>
      <c r="G68" s="4" t="n"/>
      <c r="H68" s="4" t="n"/>
      <c r="I68" s="4" t="n"/>
      <c r="J68" s="4" t="n"/>
    </row>
    <row r="69">
      <c r="A69" s="14">
        <f>IF(F69&lt;&gt;"",ROW()-4,"")</f>
        <v/>
      </c>
      <c r="B69" s="15" t="n"/>
      <c r="C69" s="4" t="n"/>
      <c r="D69" s="4" t="n"/>
      <c r="E69" s="4" t="n"/>
      <c r="F69" s="16" t="n"/>
      <c r="G69" s="4" t="n"/>
      <c r="H69" s="4" t="n"/>
      <c r="I69" s="4" t="n"/>
      <c r="J69" s="4" t="n"/>
    </row>
    <row r="70">
      <c r="A70" s="18">
        <f>IF(F70&lt;&gt;"",ROW()-4,"")</f>
        <v/>
      </c>
      <c r="B70" s="15" t="n"/>
      <c r="C70" s="4" t="n"/>
      <c r="D70" s="4" t="n"/>
      <c r="E70" s="4" t="n"/>
      <c r="F70" s="16" t="n"/>
      <c r="G70" s="4" t="n"/>
      <c r="H70" s="4" t="n"/>
      <c r="I70" s="4" t="n"/>
      <c r="J70" s="4" t="n"/>
    </row>
    <row r="71">
      <c r="A71" s="14">
        <f>IF(F71&lt;&gt;"",ROW()-4,"")</f>
        <v/>
      </c>
      <c r="B71" s="15" t="n"/>
      <c r="C71" s="4" t="n"/>
      <c r="D71" s="4" t="n"/>
      <c r="E71" s="4" t="n"/>
      <c r="F71" s="16" t="n"/>
      <c r="G71" s="4" t="n"/>
      <c r="H71" s="4" t="n"/>
      <c r="I71" s="4" t="n"/>
      <c r="J71" s="4" t="n"/>
    </row>
    <row r="72">
      <c r="A72" s="18">
        <f>IF(F72&lt;&gt;"",ROW()-4,"")</f>
        <v/>
      </c>
      <c r="B72" s="15" t="n"/>
      <c r="C72" s="4" t="n"/>
      <c r="D72" s="4" t="n"/>
      <c r="E72" s="4" t="n"/>
      <c r="F72" s="16" t="n"/>
      <c r="G72" s="4" t="n"/>
      <c r="H72" s="4" t="n"/>
      <c r="I72" s="4" t="n"/>
      <c r="J72" s="4" t="n"/>
    </row>
    <row r="73">
      <c r="A73" s="14">
        <f>IF(F73&lt;&gt;"",ROW()-4,"")</f>
        <v/>
      </c>
      <c r="B73" s="15" t="n"/>
      <c r="C73" s="4" t="n"/>
      <c r="D73" s="4" t="n"/>
      <c r="E73" s="4" t="n"/>
      <c r="F73" s="16" t="n"/>
      <c r="G73" s="4" t="n"/>
      <c r="H73" s="4" t="n"/>
      <c r="I73" s="4" t="n"/>
      <c r="J73" s="4" t="n"/>
    </row>
    <row r="74">
      <c r="A74" s="18">
        <f>IF(F74&lt;&gt;"",ROW()-4,"")</f>
        <v/>
      </c>
      <c r="B74" s="15" t="n"/>
      <c r="C74" s="4" t="n"/>
      <c r="D74" s="4" t="n"/>
      <c r="E74" s="4" t="n"/>
      <c r="F74" s="16" t="n"/>
      <c r="G74" s="4" t="n"/>
      <c r="H74" s="4" t="n"/>
      <c r="I74" s="4" t="n"/>
      <c r="J74" s="4" t="n"/>
    </row>
    <row r="75">
      <c r="A75" s="14">
        <f>IF(F75&lt;&gt;"",ROW()-4,"")</f>
        <v/>
      </c>
      <c r="B75" s="15" t="n"/>
      <c r="C75" s="4" t="n"/>
      <c r="D75" s="4" t="n"/>
      <c r="E75" s="4" t="n"/>
      <c r="F75" s="16" t="n"/>
      <c r="G75" s="4" t="n"/>
      <c r="H75" s="4" t="n"/>
      <c r="I75" s="4" t="n"/>
      <c r="J75" s="4" t="n"/>
    </row>
    <row r="76">
      <c r="A76" s="18">
        <f>IF(F76&lt;&gt;"",ROW()-4,"")</f>
        <v/>
      </c>
      <c r="B76" s="15" t="n"/>
      <c r="C76" s="4" t="n"/>
      <c r="D76" s="4" t="n"/>
      <c r="E76" s="4" t="n"/>
      <c r="F76" s="16" t="n"/>
      <c r="G76" s="4" t="n"/>
      <c r="H76" s="4" t="n"/>
      <c r="I76" s="4" t="n"/>
      <c r="J76" s="4" t="n"/>
    </row>
    <row r="77">
      <c r="A77" s="14">
        <f>IF(F77&lt;&gt;"",ROW()-4,"")</f>
        <v/>
      </c>
      <c r="B77" s="15" t="n"/>
      <c r="C77" s="4" t="n"/>
      <c r="D77" s="4" t="n"/>
      <c r="E77" s="4" t="n"/>
      <c r="F77" s="16" t="n"/>
      <c r="G77" s="4" t="n"/>
      <c r="H77" s="4" t="n"/>
      <c r="I77" s="4" t="n"/>
      <c r="J77" s="4" t="n"/>
    </row>
    <row r="78">
      <c r="A78" s="18">
        <f>IF(F78&lt;&gt;"",ROW()-4,"")</f>
        <v/>
      </c>
      <c r="B78" s="15" t="n"/>
      <c r="C78" s="4" t="n"/>
      <c r="D78" s="4" t="n"/>
      <c r="E78" s="4" t="n"/>
      <c r="F78" s="16" t="n"/>
      <c r="G78" s="4" t="n"/>
      <c r="H78" s="4" t="n"/>
      <c r="I78" s="4" t="n"/>
      <c r="J78" s="4" t="n"/>
    </row>
    <row r="79">
      <c r="A79" s="14">
        <f>IF(F79&lt;&gt;"",ROW()-4,"")</f>
        <v/>
      </c>
      <c r="B79" s="15" t="n"/>
      <c r="C79" s="4" t="n"/>
      <c r="D79" s="4" t="n"/>
      <c r="E79" s="4" t="n"/>
      <c r="F79" s="16" t="n"/>
      <c r="G79" s="4" t="n"/>
      <c r="H79" s="4" t="n"/>
      <c r="I79" s="4" t="n"/>
      <c r="J79" s="4" t="n"/>
    </row>
    <row r="80">
      <c r="A80" s="18">
        <f>IF(F80&lt;&gt;"",ROW()-4,"")</f>
        <v/>
      </c>
      <c r="B80" s="15" t="n"/>
      <c r="C80" s="4" t="n"/>
      <c r="D80" s="4" t="n"/>
      <c r="E80" s="4" t="n"/>
      <c r="F80" s="16" t="n"/>
      <c r="G80" s="4" t="n"/>
      <c r="H80" s="4" t="n"/>
      <c r="I80" s="4" t="n"/>
      <c r="J80" s="4" t="n"/>
    </row>
    <row r="81">
      <c r="A81" s="14">
        <f>IF(F81&lt;&gt;"",ROW()-4,"")</f>
        <v/>
      </c>
      <c r="B81" s="15" t="n"/>
      <c r="C81" s="4" t="n"/>
      <c r="D81" s="4" t="n"/>
      <c r="E81" s="4" t="n"/>
      <c r="F81" s="16" t="n"/>
      <c r="G81" s="4" t="n"/>
      <c r="H81" s="4" t="n"/>
      <c r="I81" s="4" t="n"/>
      <c r="J81" s="4" t="n"/>
    </row>
    <row r="82">
      <c r="A82" s="18">
        <f>IF(F82&lt;&gt;"",ROW()-4,"")</f>
        <v/>
      </c>
      <c r="B82" s="15" t="n"/>
      <c r="C82" s="4" t="n"/>
      <c r="D82" s="4" t="n"/>
      <c r="E82" s="4" t="n"/>
      <c r="F82" s="16" t="n"/>
      <c r="G82" s="4" t="n"/>
      <c r="H82" s="4" t="n"/>
      <c r="I82" s="4" t="n"/>
      <c r="J82" s="4" t="n"/>
    </row>
    <row r="83">
      <c r="A83" s="14">
        <f>IF(F83&lt;&gt;"",ROW()-4,"")</f>
        <v/>
      </c>
      <c r="B83" s="15" t="n"/>
      <c r="C83" s="4" t="n"/>
      <c r="D83" s="4" t="n"/>
      <c r="E83" s="4" t="n"/>
      <c r="F83" s="16" t="n"/>
      <c r="G83" s="4" t="n"/>
      <c r="H83" s="4" t="n"/>
      <c r="I83" s="4" t="n"/>
      <c r="J83" s="4" t="n"/>
    </row>
    <row r="84">
      <c r="A84" s="18">
        <f>IF(F84&lt;&gt;"",ROW()-4,"")</f>
        <v/>
      </c>
      <c r="B84" s="15" t="n"/>
      <c r="C84" s="4" t="n"/>
      <c r="D84" s="4" t="n"/>
      <c r="E84" s="4" t="n"/>
      <c r="F84" s="16" t="n"/>
      <c r="G84" s="4" t="n"/>
      <c r="H84" s="4" t="n"/>
      <c r="I84" s="4" t="n"/>
      <c r="J84" s="4" t="n"/>
    </row>
    <row r="85">
      <c r="A85" s="14">
        <f>IF(F85&lt;&gt;"",ROW()-4,"")</f>
        <v/>
      </c>
      <c r="B85" s="15" t="n"/>
      <c r="C85" s="4" t="n"/>
      <c r="D85" s="4" t="n"/>
      <c r="E85" s="4" t="n"/>
      <c r="F85" s="16" t="n"/>
      <c r="G85" s="4" t="n"/>
      <c r="H85" s="4" t="n"/>
      <c r="I85" s="4" t="n"/>
      <c r="J85" s="4" t="n"/>
    </row>
    <row r="86">
      <c r="A86" s="18">
        <f>IF(F86&lt;&gt;"",ROW()-4,"")</f>
        <v/>
      </c>
      <c r="B86" s="15" t="n"/>
      <c r="C86" s="4" t="n"/>
      <c r="D86" s="4" t="n"/>
      <c r="E86" s="4" t="n"/>
      <c r="F86" s="16" t="n"/>
      <c r="G86" s="4" t="n"/>
      <c r="H86" s="4" t="n"/>
      <c r="I86" s="4" t="n"/>
      <c r="J86" s="4" t="n"/>
    </row>
    <row r="87">
      <c r="A87" s="14">
        <f>IF(F87&lt;&gt;"",ROW()-4,"")</f>
        <v/>
      </c>
      <c r="B87" s="15" t="n"/>
      <c r="C87" s="4" t="n"/>
      <c r="D87" s="4" t="n"/>
      <c r="E87" s="4" t="n"/>
      <c r="F87" s="16" t="n"/>
      <c r="G87" s="4" t="n"/>
      <c r="H87" s="4" t="n"/>
      <c r="I87" s="4" t="n"/>
      <c r="J87" s="4" t="n"/>
    </row>
    <row r="88">
      <c r="A88" s="18">
        <f>IF(F88&lt;&gt;"",ROW()-4,"")</f>
        <v/>
      </c>
      <c r="B88" s="15" t="n"/>
      <c r="C88" s="4" t="n"/>
      <c r="D88" s="4" t="n"/>
      <c r="E88" s="4" t="n"/>
      <c r="F88" s="16" t="n"/>
      <c r="G88" s="4" t="n"/>
      <c r="H88" s="4" t="n"/>
      <c r="I88" s="4" t="n"/>
      <c r="J88" s="4" t="n"/>
    </row>
    <row r="89">
      <c r="A89" s="14">
        <f>IF(F89&lt;&gt;"",ROW()-4,"")</f>
        <v/>
      </c>
      <c r="B89" s="15" t="n"/>
      <c r="C89" s="4" t="n"/>
      <c r="D89" s="4" t="n"/>
      <c r="E89" s="4" t="n"/>
      <c r="F89" s="16" t="n"/>
      <c r="G89" s="4" t="n"/>
      <c r="H89" s="4" t="n"/>
      <c r="I89" s="4" t="n"/>
      <c r="J89" s="4" t="n"/>
    </row>
    <row r="90">
      <c r="A90" s="18">
        <f>IF(F90&lt;&gt;"",ROW()-4,"")</f>
        <v/>
      </c>
      <c r="B90" s="15" t="n"/>
      <c r="C90" s="4" t="n"/>
      <c r="D90" s="4" t="n"/>
      <c r="E90" s="4" t="n"/>
      <c r="F90" s="16" t="n"/>
      <c r="G90" s="4" t="n"/>
      <c r="H90" s="4" t="n"/>
      <c r="I90" s="4" t="n"/>
      <c r="J90" s="4" t="n"/>
    </row>
    <row r="91">
      <c r="A91" s="14">
        <f>IF(F91&lt;&gt;"",ROW()-4,"")</f>
        <v/>
      </c>
      <c r="B91" s="15" t="n"/>
      <c r="C91" s="4" t="n"/>
      <c r="D91" s="4" t="n"/>
      <c r="E91" s="4" t="n"/>
      <c r="F91" s="16" t="n"/>
      <c r="G91" s="4" t="n"/>
      <c r="H91" s="4" t="n"/>
      <c r="I91" s="4" t="n"/>
      <c r="J91" s="4" t="n"/>
    </row>
    <row r="92">
      <c r="A92" s="18">
        <f>IF(F92&lt;&gt;"",ROW()-4,"")</f>
        <v/>
      </c>
      <c r="B92" s="15" t="n"/>
      <c r="C92" s="4" t="n"/>
      <c r="D92" s="4" t="n"/>
      <c r="E92" s="4" t="n"/>
      <c r="F92" s="16" t="n"/>
      <c r="G92" s="4" t="n"/>
      <c r="H92" s="4" t="n"/>
      <c r="I92" s="4" t="n"/>
      <c r="J92" s="4" t="n"/>
    </row>
    <row r="93">
      <c r="A93" s="14">
        <f>IF(F93&lt;&gt;"",ROW()-4,"")</f>
        <v/>
      </c>
      <c r="B93" s="15" t="n"/>
      <c r="C93" s="4" t="n"/>
      <c r="D93" s="4" t="n"/>
      <c r="E93" s="4" t="n"/>
      <c r="F93" s="16" t="n"/>
      <c r="G93" s="4" t="n"/>
      <c r="H93" s="4" t="n"/>
      <c r="I93" s="4" t="n"/>
      <c r="J93" s="4" t="n"/>
    </row>
    <row r="94">
      <c r="A94" s="18">
        <f>IF(F94&lt;&gt;"",ROW()-4,"")</f>
        <v/>
      </c>
      <c r="B94" s="15" t="n"/>
      <c r="C94" s="4" t="n"/>
      <c r="D94" s="4" t="n"/>
      <c r="E94" s="4" t="n"/>
      <c r="F94" s="16" t="n"/>
      <c r="G94" s="4" t="n"/>
      <c r="H94" s="4" t="n"/>
      <c r="I94" s="4" t="n"/>
      <c r="J94" s="4" t="n"/>
    </row>
    <row r="95">
      <c r="A95" s="14">
        <f>IF(F95&lt;&gt;"",ROW()-4,"")</f>
        <v/>
      </c>
      <c r="B95" s="15" t="n"/>
      <c r="C95" s="4" t="n"/>
      <c r="D95" s="4" t="n"/>
      <c r="E95" s="4" t="n"/>
      <c r="F95" s="16" t="n"/>
      <c r="G95" s="4" t="n"/>
      <c r="H95" s="4" t="n"/>
      <c r="I95" s="4" t="n"/>
      <c r="J95" s="4" t="n"/>
    </row>
    <row r="96">
      <c r="A96" s="18">
        <f>IF(F96&lt;&gt;"",ROW()-4,"")</f>
        <v/>
      </c>
      <c r="B96" s="15" t="n"/>
      <c r="C96" s="4" t="n"/>
      <c r="D96" s="4" t="n"/>
      <c r="E96" s="4" t="n"/>
      <c r="F96" s="16" t="n"/>
      <c r="G96" s="4" t="n"/>
      <c r="H96" s="4" t="n"/>
      <c r="I96" s="4" t="n"/>
      <c r="J96" s="4" t="n"/>
    </row>
    <row r="97">
      <c r="A97" s="14">
        <f>IF(F97&lt;&gt;"",ROW()-4,"")</f>
        <v/>
      </c>
      <c r="B97" s="15" t="n"/>
      <c r="C97" s="4" t="n"/>
      <c r="D97" s="4" t="n"/>
      <c r="E97" s="4" t="n"/>
      <c r="F97" s="16" t="n"/>
      <c r="G97" s="4" t="n"/>
      <c r="H97" s="4" t="n"/>
      <c r="I97" s="4" t="n"/>
      <c r="J97" s="4" t="n"/>
    </row>
    <row r="98">
      <c r="A98" s="18">
        <f>IF(F98&lt;&gt;"",ROW()-4,"")</f>
        <v/>
      </c>
      <c r="B98" s="15" t="n"/>
      <c r="C98" s="4" t="n"/>
      <c r="D98" s="4" t="n"/>
      <c r="E98" s="4" t="n"/>
      <c r="F98" s="16" t="n"/>
      <c r="G98" s="4" t="n"/>
      <c r="H98" s="4" t="n"/>
      <c r="I98" s="4" t="n"/>
      <c r="J98" s="4" t="n"/>
    </row>
    <row r="99">
      <c r="A99" s="14">
        <f>IF(F99&lt;&gt;"",ROW()-4,"")</f>
        <v/>
      </c>
      <c r="B99" s="15" t="n"/>
      <c r="C99" s="4" t="n"/>
      <c r="D99" s="4" t="n"/>
      <c r="E99" s="4" t="n"/>
      <c r="F99" s="16" t="n"/>
      <c r="G99" s="4" t="n"/>
      <c r="H99" s="4" t="n"/>
      <c r="I99" s="4" t="n"/>
      <c r="J99" s="4" t="n"/>
    </row>
    <row r="100">
      <c r="A100" s="18">
        <f>IF(F100&lt;&gt;"",ROW()-4,"")</f>
        <v/>
      </c>
      <c r="B100" s="15" t="n"/>
      <c r="C100" s="4" t="n"/>
      <c r="D100" s="4" t="n"/>
      <c r="E100" s="4" t="n"/>
      <c r="F100" s="16" t="n"/>
      <c r="G100" s="4" t="n"/>
      <c r="H100" s="4" t="n"/>
      <c r="I100" s="4" t="n"/>
      <c r="J100" s="4" t="n"/>
    </row>
    <row r="101">
      <c r="A101" s="14">
        <f>IF(F101&lt;&gt;"",ROW()-4,"")</f>
        <v/>
      </c>
      <c r="B101" s="15" t="n"/>
      <c r="C101" s="4" t="n"/>
      <c r="D101" s="4" t="n"/>
      <c r="E101" s="4" t="n"/>
      <c r="F101" s="16" t="n"/>
      <c r="G101" s="4" t="n"/>
      <c r="H101" s="4" t="n"/>
      <c r="I101" s="4" t="n"/>
      <c r="J101" s="4" t="n"/>
    </row>
    <row r="102">
      <c r="A102" s="18">
        <f>IF(F102&lt;&gt;"",ROW()-4,"")</f>
        <v/>
      </c>
      <c r="B102" s="15" t="n"/>
      <c r="C102" s="4" t="n"/>
      <c r="D102" s="4" t="n"/>
      <c r="E102" s="4" t="n"/>
      <c r="F102" s="16" t="n"/>
      <c r="G102" s="4" t="n"/>
      <c r="H102" s="4" t="n"/>
      <c r="I102" s="4" t="n"/>
      <c r="J102" s="4" t="n"/>
    </row>
    <row r="103">
      <c r="A103" s="14">
        <f>IF(F103&lt;&gt;"",ROW()-4,"")</f>
        <v/>
      </c>
      <c r="B103" s="15" t="n"/>
      <c r="C103" s="4" t="n"/>
      <c r="D103" s="4" t="n"/>
      <c r="E103" s="4" t="n"/>
      <c r="F103" s="16" t="n"/>
      <c r="G103" s="4" t="n"/>
      <c r="H103" s="4" t="n"/>
      <c r="I103" s="4" t="n"/>
      <c r="J103" s="4" t="n"/>
    </row>
    <row r="104">
      <c r="A104" s="18">
        <f>IF(F104&lt;&gt;"",ROW()-4,"")</f>
        <v/>
      </c>
      <c r="B104" s="15" t="n"/>
      <c r="C104" s="4" t="n"/>
      <c r="D104" s="4" t="n"/>
      <c r="E104" s="4" t="n"/>
      <c r="F104" s="16" t="n"/>
      <c r="G104" s="4" t="n"/>
      <c r="H104" s="4" t="n"/>
      <c r="I104" s="4" t="n"/>
      <c r="J104" s="4" t="n"/>
    </row>
    <row r="105">
      <c r="A105" s="14">
        <f>IF(F105&lt;&gt;"",ROW()-4,"")</f>
        <v/>
      </c>
      <c r="B105" s="15" t="n"/>
      <c r="C105" s="4" t="n"/>
      <c r="D105" s="4" t="n"/>
      <c r="E105" s="4" t="n"/>
      <c r="F105" s="16" t="n"/>
      <c r="G105" s="4" t="n"/>
      <c r="H105" s="4" t="n"/>
      <c r="I105" s="4" t="n"/>
      <c r="J105" s="4" t="n"/>
    </row>
    <row r="106">
      <c r="A106" s="18">
        <f>IF(F106&lt;&gt;"",ROW()-4,"")</f>
        <v/>
      </c>
      <c r="B106" s="15" t="n"/>
      <c r="C106" s="4" t="n"/>
      <c r="D106" s="4" t="n"/>
      <c r="E106" s="4" t="n"/>
      <c r="F106" s="16" t="n"/>
      <c r="G106" s="4" t="n"/>
      <c r="H106" s="4" t="n"/>
      <c r="I106" s="4" t="n"/>
      <c r="J106" s="4" t="n"/>
    </row>
    <row r="107">
      <c r="A107" s="14">
        <f>IF(F107&lt;&gt;"",ROW()-4,"")</f>
        <v/>
      </c>
      <c r="B107" s="15" t="n"/>
      <c r="C107" s="4" t="n"/>
      <c r="D107" s="4" t="n"/>
      <c r="E107" s="4" t="n"/>
      <c r="F107" s="16" t="n"/>
      <c r="G107" s="4" t="n"/>
      <c r="H107" s="4" t="n"/>
      <c r="I107" s="4" t="n"/>
      <c r="J107" s="4" t="n"/>
    </row>
    <row r="108">
      <c r="A108" s="18">
        <f>IF(F108&lt;&gt;"",ROW()-4,"")</f>
        <v/>
      </c>
      <c r="B108" s="15" t="n"/>
      <c r="C108" s="4" t="n"/>
      <c r="D108" s="4" t="n"/>
      <c r="E108" s="4" t="n"/>
      <c r="F108" s="16" t="n"/>
      <c r="G108" s="4" t="n"/>
      <c r="H108" s="4" t="n"/>
      <c r="I108" s="4" t="n"/>
      <c r="J108" s="4" t="n"/>
    </row>
    <row r="109">
      <c r="A109" s="14">
        <f>IF(F109&lt;&gt;"",ROW()-4,"")</f>
        <v/>
      </c>
      <c r="B109" s="15" t="n"/>
      <c r="C109" s="4" t="n"/>
      <c r="D109" s="4" t="n"/>
      <c r="E109" s="4" t="n"/>
      <c r="F109" s="16" t="n"/>
      <c r="G109" s="4" t="n"/>
      <c r="H109" s="4" t="n"/>
      <c r="I109" s="4" t="n"/>
      <c r="J109" s="4" t="n"/>
    </row>
    <row r="110">
      <c r="A110" s="18">
        <f>IF(F110&lt;&gt;"",ROW()-4,"")</f>
        <v/>
      </c>
      <c r="B110" s="15" t="n"/>
      <c r="C110" s="4" t="n"/>
      <c r="D110" s="4" t="n"/>
      <c r="E110" s="4" t="n"/>
      <c r="F110" s="16" t="n"/>
      <c r="G110" s="4" t="n"/>
      <c r="H110" s="4" t="n"/>
      <c r="I110" s="4" t="n"/>
      <c r="J110" s="4" t="n"/>
    </row>
    <row r="111">
      <c r="A111" s="14">
        <f>IF(F111&lt;&gt;"",ROW()-4,"")</f>
        <v/>
      </c>
      <c r="B111" s="15" t="n"/>
      <c r="C111" s="4" t="n"/>
      <c r="D111" s="4" t="n"/>
      <c r="E111" s="4" t="n"/>
      <c r="F111" s="16" t="n"/>
      <c r="G111" s="4" t="n"/>
      <c r="H111" s="4" t="n"/>
      <c r="I111" s="4" t="n"/>
      <c r="J111" s="4" t="n"/>
    </row>
    <row r="112">
      <c r="A112" s="18">
        <f>IF(F112&lt;&gt;"",ROW()-4,"")</f>
        <v/>
      </c>
      <c r="B112" s="15" t="n"/>
      <c r="C112" s="4" t="n"/>
      <c r="D112" s="4" t="n"/>
      <c r="E112" s="4" t="n"/>
      <c r="F112" s="16" t="n"/>
      <c r="G112" s="4" t="n"/>
      <c r="H112" s="4" t="n"/>
      <c r="I112" s="4" t="n"/>
      <c r="J112" s="4" t="n"/>
    </row>
    <row r="113">
      <c r="A113" s="14">
        <f>IF(F113&lt;&gt;"",ROW()-4,"")</f>
        <v/>
      </c>
      <c r="B113" s="15" t="n"/>
      <c r="C113" s="4" t="n"/>
      <c r="D113" s="4" t="n"/>
      <c r="E113" s="4" t="n"/>
      <c r="F113" s="16" t="n"/>
      <c r="G113" s="4" t="n"/>
      <c r="H113" s="4" t="n"/>
      <c r="I113" s="4" t="n"/>
      <c r="J113" s="4" t="n"/>
    </row>
    <row r="114">
      <c r="A114" s="18">
        <f>IF(F114&lt;&gt;"",ROW()-4,"")</f>
        <v/>
      </c>
      <c r="B114" s="15" t="n"/>
      <c r="C114" s="4" t="n"/>
      <c r="D114" s="4" t="n"/>
      <c r="E114" s="4" t="n"/>
      <c r="F114" s="16" t="n"/>
      <c r="G114" s="4" t="n"/>
      <c r="H114" s="4" t="n"/>
      <c r="I114" s="4" t="n"/>
      <c r="J114" s="4" t="n"/>
    </row>
    <row r="115">
      <c r="A115" s="14">
        <f>IF(F115&lt;&gt;"",ROW()-4,"")</f>
        <v/>
      </c>
      <c r="B115" s="15" t="n"/>
      <c r="C115" s="4" t="n"/>
      <c r="D115" s="4" t="n"/>
      <c r="E115" s="4" t="n"/>
      <c r="F115" s="16" t="n"/>
      <c r="G115" s="4" t="n"/>
      <c r="H115" s="4" t="n"/>
      <c r="I115" s="4" t="n"/>
      <c r="J115" s="4" t="n"/>
    </row>
    <row r="116">
      <c r="A116" s="18">
        <f>IF(F116&lt;&gt;"",ROW()-4,"")</f>
        <v/>
      </c>
      <c r="B116" s="15" t="n"/>
      <c r="C116" s="4" t="n"/>
      <c r="D116" s="4" t="n"/>
      <c r="E116" s="4" t="n"/>
      <c r="F116" s="16" t="n"/>
      <c r="G116" s="4" t="n"/>
      <c r="H116" s="4" t="n"/>
      <c r="I116" s="4" t="n"/>
      <c r="J116" s="4" t="n"/>
    </row>
    <row r="117">
      <c r="A117" s="14">
        <f>IF(F117&lt;&gt;"",ROW()-4,"")</f>
        <v/>
      </c>
      <c r="B117" s="15" t="n"/>
      <c r="C117" s="4" t="n"/>
      <c r="D117" s="4" t="n"/>
      <c r="E117" s="4" t="n"/>
      <c r="F117" s="16" t="n"/>
      <c r="G117" s="4" t="n"/>
      <c r="H117" s="4" t="n"/>
      <c r="I117" s="4" t="n"/>
      <c r="J117" s="4" t="n"/>
    </row>
    <row r="118">
      <c r="A118" s="18">
        <f>IF(F118&lt;&gt;"",ROW()-4,"")</f>
        <v/>
      </c>
      <c r="B118" s="15" t="n"/>
      <c r="C118" s="4" t="n"/>
      <c r="D118" s="4" t="n"/>
      <c r="E118" s="4" t="n"/>
      <c r="F118" s="16" t="n"/>
      <c r="G118" s="4" t="n"/>
      <c r="H118" s="4" t="n"/>
      <c r="I118" s="4" t="n"/>
      <c r="J118" s="4" t="n"/>
    </row>
    <row r="119">
      <c r="A119" s="14">
        <f>IF(F119&lt;&gt;"",ROW()-4,"")</f>
        <v/>
      </c>
      <c r="B119" s="15" t="n"/>
      <c r="C119" s="4" t="n"/>
      <c r="D119" s="4" t="n"/>
      <c r="E119" s="4" t="n"/>
      <c r="F119" s="16" t="n"/>
      <c r="G119" s="4" t="n"/>
      <c r="H119" s="4" t="n"/>
      <c r="I119" s="4" t="n"/>
      <c r="J119" s="4" t="n"/>
    </row>
    <row r="120">
      <c r="A120" s="18">
        <f>IF(F120&lt;&gt;"",ROW()-4,"")</f>
        <v/>
      </c>
      <c r="B120" s="15" t="n"/>
      <c r="C120" s="4" t="n"/>
      <c r="D120" s="4" t="n"/>
      <c r="E120" s="4" t="n"/>
      <c r="F120" s="16" t="n"/>
      <c r="G120" s="4" t="n"/>
      <c r="H120" s="4" t="n"/>
      <c r="I120" s="4" t="n"/>
      <c r="J120" s="4" t="n"/>
    </row>
    <row r="121">
      <c r="A121" s="14">
        <f>IF(F121&lt;&gt;"",ROW()-4,"")</f>
        <v/>
      </c>
      <c r="B121" s="15" t="n"/>
      <c r="C121" s="4" t="n"/>
      <c r="D121" s="4" t="n"/>
      <c r="E121" s="4" t="n"/>
      <c r="F121" s="16" t="n"/>
      <c r="G121" s="4" t="n"/>
      <c r="H121" s="4" t="n"/>
      <c r="I121" s="4" t="n"/>
      <c r="J121" s="4" t="n"/>
    </row>
    <row r="122">
      <c r="A122" s="18">
        <f>IF(F122&lt;&gt;"",ROW()-4,"")</f>
        <v/>
      </c>
      <c r="B122" s="15" t="n"/>
      <c r="C122" s="4" t="n"/>
      <c r="D122" s="4" t="n"/>
      <c r="E122" s="4" t="n"/>
      <c r="F122" s="16" t="n"/>
      <c r="G122" s="4" t="n"/>
      <c r="H122" s="4" t="n"/>
      <c r="I122" s="4" t="n"/>
      <c r="J122" s="4" t="n"/>
    </row>
    <row r="123">
      <c r="A123" s="14">
        <f>IF(F123&lt;&gt;"",ROW()-4,"")</f>
        <v/>
      </c>
      <c r="B123" s="15" t="n"/>
      <c r="C123" s="4" t="n"/>
      <c r="D123" s="4" t="n"/>
      <c r="E123" s="4" t="n"/>
      <c r="F123" s="16" t="n"/>
      <c r="G123" s="4" t="n"/>
      <c r="H123" s="4" t="n"/>
      <c r="I123" s="4" t="n"/>
      <c r="J123" s="4" t="n"/>
    </row>
    <row r="124">
      <c r="A124" s="18">
        <f>IF(F124&lt;&gt;"",ROW()-4,"")</f>
        <v/>
      </c>
      <c r="B124" s="15" t="n"/>
      <c r="C124" s="4" t="n"/>
      <c r="D124" s="4" t="n"/>
      <c r="E124" s="4" t="n"/>
      <c r="F124" s="16" t="n"/>
      <c r="G124" s="4" t="n"/>
      <c r="H124" s="4" t="n"/>
      <c r="I124" s="4" t="n"/>
      <c r="J124" s="4" t="n"/>
    </row>
    <row r="125">
      <c r="A125" s="14">
        <f>IF(F125&lt;&gt;"",ROW()-4,"")</f>
        <v/>
      </c>
      <c r="B125" s="15" t="n"/>
      <c r="C125" s="4" t="n"/>
      <c r="D125" s="4" t="n"/>
      <c r="E125" s="4" t="n"/>
      <c r="F125" s="16" t="n"/>
      <c r="G125" s="4" t="n"/>
      <c r="H125" s="4" t="n"/>
      <c r="I125" s="4" t="n"/>
      <c r="J125" s="4" t="n"/>
    </row>
    <row r="126">
      <c r="A126" s="18">
        <f>IF(F126&lt;&gt;"",ROW()-4,"")</f>
        <v/>
      </c>
      <c r="B126" s="15" t="n"/>
      <c r="C126" s="4" t="n"/>
      <c r="D126" s="4" t="n"/>
      <c r="E126" s="4" t="n"/>
      <c r="F126" s="16" t="n"/>
      <c r="G126" s="4" t="n"/>
      <c r="H126" s="4" t="n"/>
      <c r="I126" s="4" t="n"/>
      <c r="J126" s="4" t="n"/>
    </row>
    <row r="127">
      <c r="A127" s="14">
        <f>IF(F127&lt;&gt;"",ROW()-4,"")</f>
        <v/>
      </c>
      <c r="B127" s="15" t="n"/>
      <c r="C127" s="4" t="n"/>
      <c r="D127" s="4" t="n"/>
      <c r="E127" s="4" t="n"/>
      <c r="F127" s="16" t="n"/>
      <c r="G127" s="4" t="n"/>
      <c r="H127" s="4" t="n"/>
      <c r="I127" s="4" t="n"/>
      <c r="J127" s="4" t="n"/>
    </row>
    <row r="128">
      <c r="A128" s="18">
        <f>IF(F128&lt;&gt;"",ROW()-4,"")</f>
        <v/>
      </c>
      <c r="B128" s="15" t="n"/>
      <c r="C128" s="4" t="n"/>
      <c r="D128" s="4" t="n"/>
      <c r="E128" s="4" t="n"/>
      <c r="F128" s="16" t="n"/>
      <c r="G128" s="4" t="n"/>
      <c r="H128" s="4" t="n"/>
      <c r="I128" s="4" t="n"/>
      <c r="J128" s="4" t="n"/>
    </row>
    <row r="129">
      <c r="A129" s="14">
        <f>IF(F129&lt;&gt;"",ROW()-4,"")</f>
        <v/>
      </c>
      <c r="B129" s="15" t="n"/>
      <c r="C129" s="4" t="n"/>
      <c r="D129" s="4" t="n"/>
      <c r="E129" s="4" t="n"/>
      <c r="F129" s="16" t="n"/>
      <c r="G129" s="4" t="n"/>
      <c r="H129" s="4" t="n"/>
      <c r="I129" s="4" t="n"/>
      <c r="J129" s="4" t="n"/>
    </row>
    <row r="130">
      <c r="A130" s="18">
        <f>IF(F130&lt;&gt;"",ROW()-4,"")</f>
        <v/>
      </c>
      <c r="B130" s="15" t="n"/>
      <c r="C130" s="4" t="n"/>
      <c r="D130" s="4" t="n"/>
      <c r="E130" s="4" t="n"/>
      <c r="F130" s="16" t="n"/>
      <c r="G130" s="4" t="n"/>
      <c r="H130" s="4" t="n"/>
      <c r="I130" s="4" t="n"/>
      <c r="J130" s="4" t="n"/>
    </row>
    <row r="131">
      <c r="A131" s="14">
        <f>IF(F131&lt;&gt;"",ROW()-4,"")</f>
        <v/>
      </c>
      <c r="B131" s="15" t="n"/>
      <c r="C131" s="4" t="n"/>
      <c r="D131" s="4" t="n"/>
      <c r="E131" s="4" t="n"/>
      <c r="F131" s="16" t="n"/>
      <c r="G131" s="4" t="n"/>
      <c r="H131" s="4" t="n"/>
      <c r="I131" s="4" t="n"/>
      <c r="J131" s="4" t="n"/>
    </row>
    <row r="132">
      <c r="A132" s="18">
        <f>IF(F132&lt;&gt;"",ROW()-4,"")</f>
        <v/>
      </c>
      <c r="B132" s="15" t="n"/>
      <c r="C132" s="4" t="n"/>
      <c r="D132" s="4" t="n"/>
      <c r="E132" s="4" t="n"/>
      <c r="F132" s="16" t="n"/>
      <c r="G132" s="4" t="n"/>
      <c r="H132" s="4" t="n"/>
      <c r="I132" s="4" t="n"/>
      <c r="J132" s="4" t="n"/>
    </row>
    <row r="133">
      <c r="A133" s="14">
        <f>IF(F133&lt;&gt;"",ROW()-4,"")</f>
        <v/>
      </c>
      <c r="B133" s="15" t="n"/>
      <c r="C133" s="4" t="n"/>
      <c r="D133" s="4" t="n"/>
      <c r="E133" s="4" t="n"/>
      <c r="F133" s="16" t="n"/>
      <c r="G133" s="4" t="n"/>
      <c r="H133" s="4" t="n"/>
      <c r="I133" s="4" t="n"/>
      <c r="J133" s="4" t="n"/>
    </row>
    <row r="134">
      <c r="A134" s="18">
        <f>IF(F134&lt;&gt;"",ROW()-4,"")</f>
        <v/>
      </c>
      <c r="B134" s="15" t="n"/>
      <c r="C134" s="4" t="n"/>
      <c r="D134" s="4" t="n"/>
      <c r="E134" s="4" t="n"/>
      <c r="F134" s="16" t="n"/>
      <c r="G134" s="4" t="n"/>
      <c r="H134" s="4" t="n"/>
      <c r="I134" s="4" t="n"/>
      <c r="J134" s="4" t="n"/>
    </row>
    <row r="135">
      <c r="A135" s="14">
        <f>IF(F135&lt;&gt;"",ROW()-4,"")</f>
        <v/>
      </c>
      <c r="B135" s="15" t="n"/>
      <c r="C135" s="4" t="n"/>
      <c r="D135" s="4" t="n"/>
      <c r="E135" s="4" t="n"/>
      <c r="F135" s="16" t="n"/>
      <c r="G135" s="4" t="n"/>
      <c r="H135" s="4" t="n"/>
      <c r="I135" s="4" t="n"/>
      <c r="J135" s="4" t="n"/>
    </row>
    <row r="136">
      <c r="A136" s="18">
        <f>IF(F136&lt;&gt;"",ROW()-4,"")</f>
        <v/>
      </c>
      <c r="B136" s="15" t="n"/>
      <c r="C136" s="4" t="n"/>
      <c r="D136" s="4" t="n"/>
      <c r="E136" s="4" t="n"/>
      <c r="F136" s="16" t="n"/>
      <c r="G136" s="4" t="n"/>
      <c r="H136" s="4" t="n"/>
      <c r="I136" s="4" t="n"/>
      <c r="J136" s="4" t="n"/>
    </row>
    <row r="137">
      <c r="A137" s="14">
        <f>IF(F137&lt;&gt;"",ROW()-4,"")</f>
        <v/>
      </c>
      <c r="B137" s="15" t="n"/>
      <c r="C137" s="4" t="n"/>
      <c r="D137" s="4" t="n"/>
      <c r="E137" s="4" t="n"/>
      <c r="F137" s="16" t="n"/>
      <c r="G137" s="4" t="n"/>
      <c r="H137" s="4" t="n"/>
      <c r="I137" s="4" t="n"/>
      <c r="J137" s="4" t="n"/>
    </row>
    <row r="138">
      <c r="A138" s="18">
        <f>IF(F138&lt;&gt;"",ROW()-4,"")</f>
        <v/>
      </c>
      <c r="B138" s="15" t="n"/>
      <c r="C138" s="4" t="n"/>
      <c r="D138" s="4" t="n"/>
      <c r="E138" s="4" t="n"/>
      <c r="F138" s="16" t="n"/>
      <c r="G138" s="4" t="n"/>
      <c r="H138" s="4" t="n"/>
      <c r="I138" s="4" t="n"/>
      <c r="J138" s="4" t="n"/>
    </row>
    <row r="139">
      <c r="A139" s="14">
        <f>IF(F139&lt;&gt;"",ROW()-4,"")</f>
        <v/>
      </c>
      <c r="B139" s="15" t="n"/>
      <c r="C139" s="4" t="n"/>
      <c r="D139" s="4" t="n"/>
      <c r="E139" s="4" t="n"/>
      <c r="F139" s="16" t="n"/>
      <c r="G139" s="4" t="n"/>
      <c r="H139" s="4" t="n"/>
      <c r="I139" s="4" t="n"/>
      <c r="J139" s="4" t="n"/>
    </row>
    <row r="140">
      <c r="A140" s="18">
        <f>IF(F140&lt;&gt;"",ROW()-4,"")</f>
        <v/>
      </c>
      <c r="B140" s="15" t="n"/>
      <c r="C140" s="4" t="n"/>
      <c r="D140" s="4" t="n"/>
      <c r="E140" s="4" t="n"/>
      <c r="F140" s="16" t="n"/>
      <c r="G140" s="4" t="n"/>
      <c r="H140" s="4" t="n"/>
      <c r="I140" s="4" t="n"/>
      <c r="J140" s="4" t="n"/>
    </row>
    <row r="141">
      <c r="A141" s="14">
        <f>IF(F141&lt;&gt;"",ROW()-4,"")</f>
        <v/>
      </c>
      <c r="B141" s="15" t="n"/>
      <c r="C141" s="4" t="n"/>
      <c r="D141" s="4" t="n"/>
      <c r="E141" s="4" t="n"/>
      <c r="F141" s="16" t="n"/>
      <c r="G141" s="4" t="n"/>
      <c r="H141" s="4" t="n"/>
      <c r="I141" s="4" t="n"/>
      <c r="J141" s="4" t="n"/>
    </row>
    <row r="142">
      <c r="A142" s="18">
        <f>IF(F142&lt;&gt;"",ROW()-4,"")</f>
        <v/>
      </c>
      <c r="B142" s="15" t="n"/>
      <c r="C142" s="4" t="n"/>
      <c r="D142" s="4" t="n"/>
      <c r="E142" s="4" t="n"/>
      <c r="F142" s="16" t="n"/>
      <c r="G142" s="4" t="n"/>
      <c r="H142" s="4" t="n"/>
      <c r="I142" s="4" t="n"/>
      <c r="J142" s="4" t="n"/>
    </row>
    <row r="143">
      <c r="A143" s="14">
        <f>IF(F143&lt;&gt;"",ROW()-4,"")</f>
        <v/>
      </c>
      <c r="B143" s="15" t="n"/>
      <c r="C143" s="4" t="n"/>
      <c r="D143" s="4" t="n"/>
      <c r="E143" s="4" t="n"/>
      <c r="F143" s="16" t="n"/>
      <c r="G143" s="4" t="n"/>
      <c r="H143" s="4" t="n"/>
      <c r="I143" s="4" t="n"/>
      <c r="J143" s="4" t="n"/>
    </row>
    <row r="144">
      <c r="A144" s="18">
        <f>IF(F144&lt;&gt;"",ROW()-4,"")</f>
        <v/>
      </c>
      <c r="B144" s="15" t="n"/>
      <c r="C144" s="4" t="n"/>
      <c r="D144" s="4" t="n"/>
      <c r="E144" s="4" t="n"/>
      <c r="F144" s="16" t="n"/>
      <c r="G144" s="4" t="n"/>
      <c r="H144" s="4" t="n"/>
      <c r="I144" s="4" t="n"/>
      <c r="J144" s="4" t="n"/>
    </row>
    <row r="145">
      <c r="A145" s="14">
        <f>IF(F145&lt;&gt;"",ROW()-4,"")</f>
        <v/>
      </c>
      <c r="B145" s="15" t="n"/>
      <c r="C145" s="4" t="n"/>
      <c r="D145" s="4" t="n"/>
      <c r="E145" s="4" t="n"/>
      <c r="F145" s="16" t="n"/>
      <c r="G145" s="4" t="n"/>
      <c r="H145" s="4" t="n"/>
      <c r="I145" s="4" t="n"/>
      <c r="J145" s="4" t="n"/>
    </row>
    <row r="146">
      <c r="A146" s="18">
        <f>IF(F146&lt;&gt;"",ROW()-4,"")</f>
        <v/>
      </c>
      <c r="B146" s="15" t="n"/>
      <c r="C146" s="4" t="n"/>
      <c r="D146" s="4" t="n"/>
      <c r="E146" s="4" t="n"/>
      <c r="F146" s="16" t="n"/>
      <c r="G146" s="4" t="n"/>
      <c r="H146" s="4" t="n"/>
      <c r="I146" s="4" t="n"/>
      <c r="J146" s="4" t="n"/>
    </row>
    <row r="147">
      <c r="A147" s="14">
        <f>IF(F147&lt;&gt;"",ROW()-4,"")</f>
        <v/>
      </c>
      <c r="B147" s="15" t="n"/>
      <c r="C147" s="4" t="n"/>
      <c r="D147" s="4" t="n"/>
      <c r="E147" s="4" t="n"/>
      <c r="F147" s="16" t="n"/>
      <c r="G147" s="4" t="n"/>
      <c r="H147" s="4" t="n"/>
      <c r="I147" s="4" t="n"/>
      <c r="J147" s="4" t="n"/>
    </row>
    <row r="148">
      <c r="A148" s="18">
        <f>IF(F148&lt;&gt;"",ROW()-4,"")</f>
        <v/>
      </c>
      <c r="B148" s="15" t="n"/>
      <c r="C148" s="4" t="n"/>
      <c r="D148" s="4" t="n"/>
      <c r="E148" s="4" t="n"/>
      <c r="F148" s="16" t="n"/>
      <c r="G148" s="4" t="n"/>
      <c r="H148" s="4" t="n"/>
      <c r="I148" s="4" t="n"/>
      <c r="J148" s="4" t="n"/>
    </row>
    <row r="149">
      <c r="A149" s="14">
        <f>IF(F149&lt;&gt;"",ROW()-4,"")</f>
        <v/>
      </c>
      <c r="B149" s="15" t="n"/>
      <c r="C149" s="4" t="n"/>
      <c r="D149" s="4" t="n"/>
      <c r="E149" s="4" t="n"/>
      <c r="F149" s="16" t="n"/>
      <c r="G149" s="4" t="n"/>
      <c r="H149" s="4" t="n"/>
      <c r="I149" s="4" t="n"/>
      <c r="J149" s="4" t="n"/>
    </row>
    <row r="150">
      <c r="A150" s="18">
        <f>IF(F150&lt;&gt;"",ROW()-4,"")</f>
        <v/>
      </c>
      <c r="B150" s="15" t="n"/>
      <c r="C150" s="4" t="n"/>
      <c r="D150" s="4" t="n"/>
      <c r="E150" s="4" t="n"/>
      <c r="F150" s="16" t="n"/>
      <c r="G150" s="4" t="n"/>
      <c r="H150" s="4" t="n"/>
      <c r="I150" s="4" t="n"/>
      <c r="J150" s="4" t="n"/>
    </row>
    <row r="151">
      <c r="A151" s="14">
        <f>IF(F151&lt;&gt;"",ROW()-4,"")</f>
        <v/>
      </c>
      <c r="B151" s="15" t="n"/>
      <c r="C151" s="4" t="n"/>
      <c r="D151" s="4" t="n"/>
      <c r="E151" s="4" t="n"/>
      <c r="F151" s="16" t="n"/>
      <c r="G151" s="4" t="n"/>
      <c r="H151" s="4" t="n"/>
      <c r="I151" s="4" t="n"/>
      <c r="J151" s="4" t="n"/>
    </row>
    <row r="152">
      <c r="A152" s="18">
        <f>IF(F152&lt;&gt;"",ROW()-4,"")</f>
        <v/>
      </c>
      <c r="B152" s="15" t="n"/>
      <c r="C152" s="4" t="n"/>
      <c r="D152" s="4" t="n"/>
      <c r="E152" s="4" t="n"/>
      <c r="F152" s="16" t="n"/>
      <c r="G152" s="4" t="n"/>
      <c r="H152" s="4" t="n"/>
      <c r="I152" s="4" t="n"/>
      <c r="J152" s="4" t="n"/>
    </row>
    <row r="153">
      <c r="A153" s="14">
        <f>IF(F153&lt;&gt;"",ROW()-4,"")</f>
        <v/>
      </c>
      <c r="B153" s="15" t="n"/>
      <c r="C153" s="4" t="n"/>
      <c r="D153" s="4" t="n"/>
      <c r="E153" s="4" t="n"/>
      <c r="F153" s="16" t="n"/>
      <c r="G153" s="4" t="n"/>
      <c r="H153" s="4" t="n"/>
      <c r="I153" s="4" t="n"/>
      <c r="J153" s="4" t="n"/>
    </row>
    <row r="154">
      <c r="A154" s="18">
        <f>IF(F154&lt;&gt;"",ROW()-4,"")</f>
        <v/>
      </c>
      <c r="B154" s="15" t="n"/>
      <c r="C154" s="4" t="n"/>
      <c r="D154" s="4" t="n"/>
      <c r="E154" s="4" t="n"/>
      <c r="F154" s="16" t="n"/>
      <c r="G154" s="4" t="n"/>
      <c r="H154" s="4" t="n"/>
      <c r="I154" s="4" t="n"/>
      <c r="J154" s="4" t="n"/>
    </row>
    <row r="155">
      <c r="A155" s="14">
        <f>IF(F155&lt;&gt;"",ROW()-4,"")</f>
        <v/>
      </c>
      <c r="B155" s="15" t="n"/>
      <c r="C155" s="4" t="n"/>
      <c r="D155" s="4" t="n"/>
      <c r="E155" s="4" t="n"/>
      <c r="F155" s="16" t="n"/>
      <c r="G155" s="4" t="n"/>
      <c r="H155" s="4" t="n"/>
      <c r="I155" s="4" t="n"/>
      <c r="J155" s="4" t="n"/>
    </row>
    <row r="156">
      <c r="A156" s="18">
        <f>IF(F156&lt;&gt;"",ROW()-4,"")</f>
        <v/>
      </c>
      <c r="B156" s="15" t="n"/>
      <c r="C156" s="4" t="n"/>
      <c r="D156" s="4" t="n"/>
      <c r="E156" s="4" t="n"/>
      <c r="F156" s="16" t="n"/>
      <c r="G156" s="4" t="n"/>
      <c r="H156" s="4" t="n"/>
      <c r="I156" s="4" t="n"/>
      <c r="J156" s="4" t="n"/>
    </row>
    <row r="157">
      <c r="A157" s="14">
        <f>IF(F157&lt;&gt;"",ROW()-4,"")</f>
        <v/>
      </c>
      <c r="B157" s="15" t="n"/>
      <c r="C157" s="4" t="n"/>
      <c r="D157" s="4" t="n"/>
      <c r="E157" s="4" t="n"/>
      <c r="F157" s="16" t="n"/>
      <c r="G157" s="4" t="n"/>
      <c r="H157" s="4" t="n"/>
      <c r="I157" s="4" t="n"/>
      <c r="J157" s="4" t="n"/>
    </row>
    <row r="158">
      <c r="A158" s="18">
        <f>IF(F158&lt;&gt;"",ROW()-4,"")</f>
        <v/>
      </c>
      <c r="B158" s="15" t="n"/>
      <c r="C158" s="4" t="n"/>
      <c r="D158" s="4" t="n"/>
      <c r="E158" s="4" t="n"/>
      <c r="F158" s="16" t="n"/>
      <c r="G158" s="4" t="n"/>
      <c r="H158" s="4" t="n"/>
      <c r="I158" s="4" t="n"/>
      <c r="J158" s="4" t="n"/>
    </row>
    <row r="159">
      <c r="A159" s="14">
        <f>IF(F159&lt;&gt;"",ROW()-4,"")</f>
        <v/>
      </c>
      <c r="B159" s="15" t="n"/>
      <c r="C159" s="4" t="n"/>
      <c r="D159" s="4" t="n"/>
      <c r="E159" s="4" t="n"/>
      <c r="F159" s="16" t="n"/>
      <c r="G159" s="4" t="n"/>
      <c r="H159" s="4" t="n"/>
      <c r="I159" s="4" t="n"/>
      <c r="J159" s="4" t="n"/>
    </row>
    <row r="160">
      <c r="A160" s="18">
        <f>IF(F160&lt;&gt;"",ROW()-4,"")</f>
        <v/>
      </c>
      <c r="B160" s="15" t="n"/>
      <c r="C160" s="4" t="n"/>
      <c r="D160" s="4" t="n"/>
      <c r="E160" s="4" t="n"/>
      <c r="F160" s="16" t="n"/>
      <c r="G160" s="4" t="n"/>
      <c r="H160" s="4" t="n"/>
      <c r="I160" s="4" t="n"/>
      <c r="J160" s="4" t="n"/>
    </row>
    <row r="161">
      <c r="A161" s="14">
        <f>IF(F161&lt;&gt;"",ROW()-4,"")</f>
        <v/>
      </c>
      <c r="B161" s="15" t="n"/>
      <c r="C161" s="4" t="n"/>
      <c r="D161" s="4" t="n"/>
      <c r="E161" s="4" t="n"/>
      <c r="F161" s="16" t="n"/>
      <c r="G161" s="4" t="n"/>
      <c r="H161" s="4" t="n"/>
      <c r="I161" s="4" t="n"/>
      <c r="J161" s="4" t="n"/>
    </row>
    <row r="162">
      <c r="A162" s="18">
        <f>IF(F162&lt;&gt;"",ROW()-4,"")</f>
        <v/>
      </c>
      <c r="B162" s="15" t="n"/>
      <c r="C162" s="4" t="n"/>
      <c r="D162" s="4" t="n"/>
      <c r="E162" s="4" t="n"/>
      <c r="F162" s="16" t="n"/>
      <c r="G162" s="4" t="n"/>
      <c r="H162" s="4" t="n"/>
      <c r="I162" s="4" t="n"/>
      <c r="J162" s="4" t="n"/>
    </row>
    <row r="163">
      <c r="A163" s="14">
        <f>IF(F163&lt;&gt;"",ROW()-4,"")</f>
        <v/>
      </c>
      <c r="B163" s="15" t="n"/>
      <c r="C163" s="4" t="n"/>
      <c r="D163" s="4" t="n"/>
      <c r="E163" s="4" t="n"/>
      <c r="F163" s="16" t="n"/>
      <c r="G163" s="4" t="n"/>
      <c r="H163" s="4" t="n"/>
      <c r="I163" s="4" t="n"/>
      <c r="J163" s="4" t="n"/>
    </row>
    <row r="164">
      <c r="A164" s="18">
        <f>IF(F164&lt;&gt;"",ROW()-4,"")</f>
        <v/>
      </c>
      <c r="B164" s="15" t="n"/>
      <c r="C164" s="4" t="n"/>
      <c r="D164" s="4" t="n"/>
      <c r="E164" s="4" t="n"/>
      <c r="F164" s="16" t="n"/>
      <c r="G164" s="4" t="n"/>
      <c r="H164" s="4" t="n"/>
      <c r="I164" s="4" t="n"/>
      <c r="J164" s="4" t="n"/>
    </row>
    <row r="165">
      <c r="A165" s="14">
        <f>IF(F165&lt;&gt;"",ROW()-4,"")</f>
        <v/>
      </c>
      <c r="B165" s="15" t="n"/>
      <c r="C165" s="4" t="n"/>
      <c r="D165" s="4" t="n"/>
      <c r="E165" s="4" t="n"/>
      <c r="F165" s="16" t="n"/>
      <c r="G165" s="4" t="n"/>
      <c r="H165" s="4" t="n"/>
      <c r="I165" s="4" t="n"/>
      <c r="J165" s="4" t="n"/>
    </row>
    <row r="166">
      <c r="A166" s="18">
        <f>IF(F166&lt;&gt;"",ROW()-4,"")</f>
        <v/>
      </c>
      <c r="B166" s="15" t="n"/>
      <c r="C166" s="4" t="n"/>
      <c r="D166" s="4" t="n"/>
      <c r="E166" s="4" t="n"/>
      <c r="F166" s="16" t="n"/>
      <c r="G166" s="4" t="n"/>
      <c r="H166" s="4" t="n"/>
      <c r="I166" s="4" t="n"/>
      <c r="J166" s="4" t="n"/>
    </row>
    <row r="167">
      <c r="A167" s="14">
        <f>IF(F167&lt;&gt;"",ROW()-4,"")</f>
        <v/>
      </c>
      <c r="B167" s="15" t="n"/>
      <c r="C167" s="4" t="n"/>
      <c r="D167" s="4" t="n"/>
      <c r="E167" s="4" t="n"/>
      <c r="F167" s="16" t="n"/>
      <c r="G167" s="4" t="n"/>
      <c r="H167" s="4" t="n"/>
      <c r="I167" s="4" t="n"/>
      <c r="J167" s="4" t="n"/>
    </row>
    <row r="168">
      <c r="A168" s="18">
        <f>IF(F168&lt;&gt;"",ROW()-4,"")</f>
        <v/>
      </c>
      <c r="B168" s="15" t="n"/>
      <c r="C168" s="4" t="n"/>
      <c r="D168" s="4" t="n"/>
      <c r="E168" s="4" t="n"/>
      <c r="F168" s="16" t="n"/>
      <c r="G168" s="4" t="n"/>
      <c r="H168" s="4" t="n"/>
      <c r="I168" s="4" t="n"/>
      <c r="J168" s="4" t="n"/>
    </row>
    <row r="169">
      <c r="A169" s="14">
        <f>IF(F169&lt;&gt;"",ROW()-4,"")</f>
        <v/>
      </c>
      <c r="B169" s="15" t="n"/>
      <c r="C169" s="4" t="n"/>
      <c r="D169" s="4" t="n"/>
      <c r="E169" s="4" t="n"/>
      <c r="F169" s="16" t="n"/>
      <c r="G169" s="4" t="n"/>
      <c r="H169" s="4" t="n"/>
      <c r="I169" s="4" t="n"/>
      <c r="J169" s="4" t="n"/>
    </row>
    <row r="170">
      <c r="A170" s="18">
        <f>IF(F170&lt;&gt;"",ROW()-4,"")</f>
        <v/>
      </c>
      <c r="B170" s="15" t="n"/>
      <c r="C170" s="4" t="n"/>
      <c r="D170" s="4" t="n"/>
      <c r="E170" s="4" t="n"/>
      <c r="F170" s="16" t="n"/>
      <c r="G170" s="4" t="n"/>
      <c r="H170" s="4" t="n"/>
      <c r="I170" s="4" t="n"/>
      <c r="J170" s="4" t="n"/>
    </row>
    <row r="171">
      <c r="A171" s="14">
        <f>IF(F171&lt;&gt;"",ROW()-4,"")</f>
        <v/>
      </c>
      <c r="B171" s="15" t="n"/>
      <c r="C171" s="4" t="n"/>
      <c r="D171" s="4" t="n"/>
      <c r="E171" s="4" t="n"/>
      <c r="F171" s="16" t="n"/>
      <c r="G171" s="4" t="n"/>
      <c r="H171" s="4" t="n"/>
      <c r="I171" s="4" t="n"/>
      <c r="J171" s="4" t="n"/>
    </row>
    <row r="172">
      <c r="A172" s="18">
        <f>IF(F172&lt;&gt;"",ROW()-4,"")</f>
        <v/>
      </c>
      <c r="B172" s="15" t="n"/>
      <c r="C172" s="4" t="n"/>
      <c r="D172" s="4" t="n"/>
      <c r="E172" s="4" t="n"/>
      <c r="F172" s="16" t="n"/>
      <c r="G172" s="4" t="n"/>
      <c r="H172" s="4" t="n"/>
      <c r="I172" s="4" t="n"/>
      <c r="J172" s="4" t="n"/>
    </row>
    <row r="173">
      <c r="A173" s="14">
        <f>IF(F173&lt;&gt;"",ROW()-4,"")</f>
        <v/>
      </c>
      <c r="B173" s="15" t="n"/>
      <c r="C173" s="4" t="n"/>
      <c r="D173" s="4" t="n"/>
      <c r="E173" s="4" t="n"/>
      <c r="F173" s="16" t="n"/>
      <c r="G173" s="4" t="n"/>
      <c r="H173" s="4" t="n"/>
      <c r="I173" s="4" t="n"/>
      <c r="J173" s="4" t="n"/>
    </row>
    <row r="174">
      <c r="A174" s="18">
        <f>IF(F174&lt;&gt;"",ROW()-4,"")</f>
        <v/>
      </c>
      <c r="B174" s="15" t="n"/>
      <c r="C174" s="4" t="n"/>
      <c r="D174" s="4" t="n"/>
      <c r="E174" s="4" t="n"/>
      <c r="F174" s="16" t="n"/>
      <c r="G174" s="4" t="n"/>
      <c r="H174" s="4" t="n"/>
      <c r="I174" s="4" t="n"/>
      <c r="J174" s="4" t="n"/>
    </row>
    <row r="175">
      <c r="A175" s="14">
        <f>IF(F175&lt;&gt;"",ROW()-4,"")</f>
        <v/>
      </c>
      <c r="B175" s="15" t="n"/>
      <c r="C175" s="4" t="n"/>
      <c r="D175" s="4" t="n"/>
      <c r="E175" s="4" t="n"/>
      <c r="F175" s="16" t="n"/>
      <c r="G175" s="4" t="n"/>
      <c r="H175" s="4" t="n"/>
      <c r="I175" s="4" t="n"/>
      <c r="J175" s="4" t="n"/>
    </row>
    <row r="176">
      <c r="A176" s="18">
        <f>IF(F176&lt;&gt;"",ROW()-4,"")</f>
        <v/>
      </c>
      <c r="B176" s="15" t="n"/>
      <c r="C176" s="4" t="n"/>
      <c r="D176" s="4" t="n"/>
      <c r="E176" s="4" t="n"/>
      <c r="F176" s="16" t="n"/>
      <c r="G176" s="4" t="n"/>
      <c r="H176" s="4" t="n"/>
      <c r="I176" s="4" t="n"/>
      <c r="J176" s="4" t="n"/>
    </row>
    <row r="177">
      <c r="A177" s="14">
        <f>IF(F177&lt;&gt;"",ROW()-4,"")</f>
        <v/>
      </c>
      <c r="B177" s="15" t="n"/>
      <c r="C177" s="4" t="n"/>
      <c r="D177" s="4" t="n"/>
      <c r="E177" s="4" t="n"/>
      <c r="F177" s="16" t="n"/>
      <c r="G177" s="4" t="n"/>
      <c r="H177" s="4" t="n"/>
      <c r="I177" s="4" t="n"/>
      <c r="J177" s="4" t="n"/>
    </row>
    <row r="178">
      <c r="A178" s="18">
        <f>IF(F178&lt;&gt;"",ROW()-4,"")</f>
        <v/>
      </c>
      <c r="B178" s="15" t="n"/>
      <c r="C178" s="4" t="n"/>
      <c r="D178" s="4" t="n"/>
      <c r="E178" s="4" t="n"/>
      <c r="F178" s="16" t="n"/>
      <c r="G178" s="4" t="n"/>
      <c r="H178" s="4" t="n"/>
      <c r="I178" s="4" t="n"/>
      <c r="J178" s="4" t="n"/>
    </row>
    <row r="179">
      <c r="A179" s="14">
        <f>IF(F179&lt;&gt;"",ROW()-4,"")</f>
        <v/>
      </c>
      <c r="B179" s="15" t="n"/>
      <c r="C179" s="4" t="n"/>
      <c r="D179" s="4" t="n"/>
      <c r="E179" s="4" t="n"/>
      <c r="F179" s="16" t="n"/>
      <c r="G179" s="4" t="n"/>
      <c r="H179" s="4" t="n"/>
      <c r="I179" s="4" t="n"/>
      <c r="J179" s="4" t="n"/>
    </row>
    <row r="180">
      <c r="A180" s="18">
        <f>IF(F180&lt;&gt;"",ROW()-4,"")</f>
        <v/>
      </c>
      <c r="B180" s="15" t="n"/>
      <c r="C180" s="4" t="n"/>
      <c r="D180" s="4" t="n"/>
      <c r="E180" s="4" t="n"/>
      <c r="F180" s="16" t="n"/>
      <c r="G180" s="4" t="n"/>
      <c r="H180" s="4" t="n"/>
      <c r="I180" s="4" t="n"/>
      <c r="J180" s="4" t="n"/>
    </row>
    <row r="181">
      <c r="A181" s="14">
        <f>IF(F181&lt;&gt;"",ROW()-4,"")</f>
        <v/>
      </c>
      <c r="B181" s="15" t="n"/>
      <c r="C181" s="4" t="n"/>
      <c r="D181" s="4" t="n"/>
      <c r="E181" s="4" t="n"/>
      <c r="F181" s="16" t="n"/>
      <c r="G181" s="4" t="n"/>
      <c r="H181" s="4" t="n"/>
      <c r="I181" s="4" t="n"/>
      <c r="J181" s="4" t="n"/>
    </row>
    <row r="182">
      <c r="A182" s="18">
        <f>IF(F182&lt;&gt;"",ROW()-4,"")</f>
        <v/>
      </c>
      <c r="B182" s="15" t="n"/>
      <c r="C182" s="4" t="n"/>
      <c r="D182" s="4" t="n"/>
      <c r="E182" s="4" t="n"/>
      <c r="F182" s="16" t="n"/>
      <c r="G182" s="4" t="n"/>
      <c r="H182" s="4" t="n"/>
      <c r="I182" s="4" t="n"/>
      <c r="J182" s="4" t="n"/>
    </row>
    <row r="183">
      <c r="A183" s="14">
        <f>IF(F183&lt;&gt;"",ROW()-4,"")</f>
        <v/>
      </c>
      <c r="B183" s="15" t="n"/>
      <c r="C183" s="4" t="n"/>
      <c r="D183" s="4" t="n"/>
      <c r="E183" s="4" t="n"/>
      <c r="F183" s="16" t="n"/>
      <c r="G183" s="4" t="n"/>
      <c r="H183" s="4" t="n"/>
      <c r="I183" s="4" t="n"/>
      <c r="J183" s="4" t="n"/>
    </row>
    <row r="184">
      <c r="A184" s="18">
        <f>IF(F184&lt;&gt;"",ROW()-4,"")</f>
        <v/>
      </c>
      <c r="B184" s="15" t="n"/>
      <c r="C184" s="4" t="n"/>
      <c r="D184" s="4" t="n"/>
      <c r="E184" s="4" t="n"/>
      <c r="F184" s="16" t="n"/>
      <c r="G184" s="4" t="n"/>
      <c r="H184" s="4" t="n"/>
      <c r="I184" s="4" t="n"/>
      <c r="J184" s="4" t="n"/>
    </row>
    <row r="185">
      <c r="A185" s="14">
        <f>IF(F185&lt;&gt;"",ROW()-4,"")</f>
        <v/>
      </c>
      <c r="B185" s="15" t="n"/>
      <c r="C185" s="4" t="n"/>
      <c r="D185" s="4" t="n"/>
      <c r="E185" s="4" t="n"/>
      <c r="F185" s="16" t="n"/>
      <c r="G185" s="4" t="n"/>
      <c r="H185" s="4" t="n"/>
      <c r="I185" s="4" t="n"/>
      <c r="J185" s="4" t="n"/>
    </row>
    <row r="186">
      <c r="A186" s="18">
        <f>IF(F186&lt;&gt;"",ROW()-4,"")</f>
        <v/>
      </c>
      <c r="B186" s="15" t="n"/>
      <c r="C186" s="4" t="n"/>
      <c r="D186" s="4" t="n"/>
      <c r="E186" s="4" t="n"/>
      <c r="F186" s="16" t="n"/>
      <c r="G186" s="4" t="n"/>
      <c r="H186" s="4" t="n"/>
      <c r="I186" s="4" t="n"/>
      <c r="J186" s="4" t="n"/>
    </row>
    <row r="187">
      <c r="A187" s="14">
        <f>IF(F187&lt;&gt;"",ROW()-4,"")</f>
        <v/>
      </c>
      <c r="B187" s="15" t="n"/>
      <c r="C187" s="4" t="n"/>
      <c r="D187" s="4" t="n"/>
      <c r="E187" s="4" t="n"/>
      <c r="F187" s="16" t="n"/>
      <c r="G187" s="4" t="n"/>
      <c r="H187" s="4" t="n"/>
      <c r="I187" s="4" t="n"/>
      <c r="J187" s="4" t="n"/>
    </row>
    <row r="188">
      <c r="A188" s="18">
        <f>IF(F188&lt;&gt;"",ROW()-4,"")</f>
        <v/>
      </c>
      <c r="B188" s="15" t="n"/>
      <c r="C188" s="4" t="n"/>
      <c r="D188" s="4" t="n"/>
      <c r="E188" s="4" t="n"/>
      <c r="F188" s="16" t="n"/>
      <c r="G188" s="4" t="n"/>
      <c r="H188" s="4" t="n"/>
      <c r="I188" s="4" t="n"/>
      <c r="J188" s="4" t="n"/>
    </row>
    <row r="189">
      <c r="A189" s="14">
        <f>IF(F189&lt;&gt;"",ROW()-4,"")</f>
        <v/>
      </c>
      <c r="B189" s="15" t="n"/>
      <c r="C189" s="4" t="n"/>
      <c r="D189" s="4" t="n"/>
      <c r="E189" s="4" t="n"/>
      <c r="F189" s="16" t="n"/>
      <c r="G189" s="4" t="n"/>
      <c r="H189" s="4" t="n"/>
      <c r="I189" s="4" t="n"/>
      <c r="J189" s="4" t="n"/>
    </row>
    <row r="190">
      <c r="A190" s="18">
        <f>IF(F190&lt;&gt;"",ROW()-4,"")</f>
        <v/>
      </c>
      <c r="B190" s="15" t="n"/>
      <c r="C190" s="4" t="n"/>
      <c r="D190" s="4" t="n"/>
      <c r="E190" s="4" t="n"/>
      <c r="F190" s="16" t="n"/>
      <c r="G190" s="4" t="n"/>
      <c r="H190" s="4" t="n"/>
      <c r="I190" s="4" t="n"/>
      <c r="J190" s="4" t="n"/>
    </row>
    <row r="191">
      <c r="A191" s="14">
        <f>IF(F191&lt;&gt;"",ROW()-4,"")</f>
        <v/>
      </c>
      <c r="B191" s="15" t="n"/>
      <c r="C191" s="4" t="n"/>
      <c r="D191" s="4" t="n"/>
      <c r="E191" s="4" t="n"/>
      <c r="F191" s="16" t="n"/>
      <c r="G191" s="4" t="n"/>
      <c r="H191" s="4" t="n"/>
      <c r="I191" s="4" t="n"/>
      <c r="J191" s="4" t="n"/>
    </row>
    <row r="192">
      <c r="A192" s="18">
        <f>IF(F192&lt;&gt;"",ROW()-4,"")</f>
        <v/>
      </c>
      <c r="B192" s="15" t="n"/>
      <c r="C192" s="4" t="n"/>
      <c r="D192" s="4" t="n"/>
      <c r="E192" s="4" t="n"/>
      <c r="F192" s="16" t="n"/>
      <c r="G192" s="4" t="n"/>
      <c r="H192" s="4" t="n"/>
      <c r="I192" s="4" t="n"/>
      <c r="J192" s="4" t="n"/>
    </row>
    <row r="193">
      <c r="A193" s="14">
        <f>IF(F193&lt;&gt;"",ROW()-4,"")</f>
        <v/>
      </c>
      <c r="B193" s="15" t="n"/>
      <c r="C193" s="4" t="n"/>
      <c r="D193" s="4" t="n"/>
      <c r="E193" s="4" t="n"/>
      <c r="F193" s="16" t="n"/>
      <c r="G193" s="4" t="n"/>
      <c r="H193" s="4" t="n"/>
      <c r="I193" s="4" t="n"/>
      <c r="J193" s="4" t="n"/>
    </row>
    <row r="194">
      <c r="A194" s="18">
        <f>IF(F194&lt;&gt;"",ROW()-4,"")</f>
        <v/>
      </c>
      <c r="B194" s="15" t="n"/>
      <c r="C194" s="4" t="n"/>
      <c r="D194" s="4" t="n"/>
      <c r="E194" s="4" t="n"/>
      <c r="F194" s="16" t="n"/>
      <c r="G194" s="4" t="n"/>
      <c r="H194" s="4" t="n"/>
      <c r="I194" s="4" t="n"/>
      <c r="J194" s="4" t="n"/>
    </row>
    <row r="195">
      <c r="A195" s="14">
        <f>IF(F195&lt;&gt;"",ROW()-4,"")</f>
        <v/>
      </c>
      <c r="B195" s="15" t="n"/>
      <c r="C195" s="4" t="n"/>
      <c r="D195" s="4" t="n"/>
      <c r="E195" s="4" t="n"/>
      <c r="F195" s="16" t="n"/>
      <c r="G195" s="4" t="n"/>
      <c r="H195" s="4" t="n"/>
      <c r="I195" s="4" t="n"/>
      <c r="J195" s="4" t="n"/>
    </row>
    <row r="196">
      <c r="A196" s="18">
        <f>IF(F196&lt;&gt;"",ROW()-4,"")</f>
        <v/>
      </c>
      <c r="B196" s="15" t="n"/>
      <c r="C196" s="4" t="n"/>
      <c r="D196" s="4" t="n"/>
      <c r="E196" s="4" t="n"/>
      <c r="F196" s="16" t="n"/>
      <c r="G196" s="4" t="n"/>
      <c r="H196" s="4" t="n"/>
      <c r="I196" s="4" t="n"/>
      <c r="J196" s="4" t="n"/>
    </row>
    <row r="197">
      <c r="A197" s="14">
        <f>IF(F197&lt;&gt;"",ROW()-4,"")</f>
        <v/>
      </c>
      <c r="B197" s="15" t="n"/>
      <c r="C197" s="4" t="n"/>
      <c r="D197" s="4" t="n"/>
      <c r="E197" s="4" t="n"/>
      <c r="F197" s="16" t="n"/>
      <c r="G197" s="4" t="n"/>
      <c r="H197" s="4" t="n"/>
      <c r="I197" s="4" t="n"/>
      <c r="J197" s="4" t="n"/>
    </row>
    <row r="198">
      <c r="A198" s="18">
        <f>IF(F198&lt;&gt;"",ROW()-4,"")</f>
        <v/>
      </c>
      <c r="B198" s="15" t="n"/>
      <c r="C198" s="4" t="n"/>
      <c r="D198" s="4" t="n"/>
      <c r="E198" s="4" t="n"/>
      <c r="F198" s="16" t="n"/>
      <c r="G198" s="4" t="n"/>
      <c r="H198" s="4" t="n"/>
      <c r="I198" s="4" t="n"/>
      <c r="J198" s="4" t="n"/>
    </row>
    <row r="199">
      <c r="A199" s="14">
        <f>IF(F199&lt;&gt;"",ROW()-4,"")</f>
        <v/>
      </c>
      <c r="B199" s="15" t="n"/>
      <c r="C199" s="4" t="n"/>
      <c r="D199" s="4" t="n"/>
      <c r="E199" s="4" t="n"/>
      <c r="F199" s="16" t="n"/>
      <c r="G199" s="4" t="n"/>
      <c r="H199" s="4" t="n"/>
      <c r="I199" s="4" t="n"/>
      <c r="J199" s="4" t="n"/>
    </row>
    <row r="200">
      <c r="A200" s="18">
        <f>IF(F200&lt;&gt;"",ROW()-4,"")</f>
        <v/>
      </c>
      <c r="B200" s="15" t="n"/>
      <c r="C200" s="4" t="n"/>
      <c r="D200" s="4" t="n"/>
      <c r="E200" s="4" t="n"/>
      <c r="F200" s="16" t="n"/>
      <c r="G200" s="4" t="n"/>
      <c r="H200" s="4" t="n"/>
      <c r="I200" s="4" t="n"/>
      <c r="J200" s="4" t="n"/>
    </row>
    <row r="201">
      <c r="A201" s="14">
        <f>IF(F201&lt;&gt;"",ROW()-4,"")</f>
        <v/>
      </c>
      <c r="B201" s="15" t="n"/>
      <c r="C201" s="4" t="n"/>
      <c r="D201" s="4" t="n"/>
      <c r="E201" s="4" t="n"/>
      <c r="F201" s="16" t="n"/>
      <c r="G201" s="4" t="n"/>
      <c r="H201" s="4" t="n"/>
      <c r="I201" s="4" t="n"/>
      <c r="J201" s="4" t="n"/>
    </row>
    <row r="202">
      <c r="A202" s="18">
        <f>IF(F202&lt;&gt;"",ROW()-4,"")</f>
        <v/>
      </c>
      <c r="B202" s="15" t="n"/>
      <c r="C202" s="4" t="n"/>
      <c r="D202" s="4" t="n"/>
      <c r="E202" s="4" t="n"/>
      <c r="F202" s="16" t="n"/>
      <c r="G202" s="4" t="n"/>
      <c r="H202" s="4" t="n"/>
      <c r="I202" s="4" t="n"/>
      <c r="J202" s="4" t="n"/>
    </row>
    <row r="203">
      <c r="A203" s="14">
        <f>IF(F203&lt;&gt;"",ROW()-4,"")</f>
        <v/>
      </c>
      <c r="B203" s="15" t="n"/>
      <c r="C203" s="4" t="n"/>
      <c r="D203" s="4" t="n"/>
      <c r="E203" s="4" t="n"/>
      <c r="F203" s="16" t="n"/>
      <c r="G203" s="4" t="n"/>
      <c r="H203" s="4" t="n"/>
      <c r="I203" s="4" t="n"/>
      <c r="J203" s="4" t="n"/>
    </row>
    <row r="204">
      <c r="A204" s="18">
        <f>IF(F204&lt;&gt;"",ROW()-4,"")</f>
        <v/>
      </c>
      <c r="B204" s="15" t="n"/>
      <c r="C204" s="4" t="n"/>
      <c r="D204" s="4" t="n"/>
      <c r="E204" s="4" t="n"/>
      <c r="F204" s="16" t="n"/>
      <c r="G204" s="4" t="n"/>
      <c r="H204" s="4" t="n"/>
      <c r="I204" s="4" t="n"/>
      <c r="J204" s="4" t="n"/>
    </row>
    <row r="205">
      <c r="A205" s="14">
        <f>IF(F205&lt;&gt;"",ROW()-4,"")</f>
        <v/>
      </c>
      <c r="B205" s="15" t="n"/>
      <c r="C205" s="4" t="n"/>
      <c r="D205" s="4" t="n"/>
      <c r="E205" s="4" t="n"/>
      <c r="F205" s="16" t="n"/>
      <c r="G205" s="4" t="n"/>
      <c r="H205" s="4" t="n"/>
      <c r="I205" s="4" t="n"/>
      <c r="J205" s="4" t="n"/>
    </row>
    <row r="206">
      <c r="A206" s="18">
        <f>IF(F206&lt;&gt;"",ROW()-4,"")</f>
        <v/>
      </c>
      <c r="B206" s="15" t="n"/>
      <c r="C206" s="4" t="n"/>
      <c r="D206" s="4" t="n"/>
      <c r="E206" s="4" t="n"/>
      <c r="F206" s="16" t="n"/>
      <c r="G206" s="4" t="n"/>
      <c r="H206" s="4" t="n"/>
      <c r="I206" s="4" t="n"/>
      <c r="J206" s="4" t="n"/>
    </row>
    <row r="207">
      <c r="A207" s="14">
        <f>IF(F207&lt;&gt;"",ROW()-4,"")</f>
        <v/>
      </c>
      <c r="B207" s="15" t="n"/>
      <c r="C207" s="4" t="n"/>
      <c r="D207" s="4" t="n"/>
      <c r="E207" s="4" t="n"/>
      <c r="F207" s="16" t="n"/>
      <c r="G207" s="4" t="n"/>
      <c r="H207" s="4" t="n"/>
      <c r="I207" s="4" t="n"/>
      <c r="J207" s="4" t="n"/>
    </row>
    <row r="208">
      <c r="A208" s="18">
        <f>IF(F208&lt;&gt;"",ROW()-4,"")</f>
        <v/>
      </c>
      <c r="B208" s="15" t="n"/>
      <c r="C208" s="4" t="n"/>
      <c r="D208" s="4" t="n"/>
      <c r="E208" s="4" t="n"/>
      <c r="F208" s="16" t="n"/>
      <c r="G208" s="4" t="n"/>
      <c r="H208" s="4" t="n"/>
      <c r="I208" s="4" t="n"/>
      <c r="J208" s="4" t="n"/>
    </row>
    <row r="209">
      <c r="A209" s="14">
        <f>IF(F209&lt;&gt;"",ROW()-4,"")</f>
        <v/>
      </c>
      <c r="B209" s="15" t="n"/>
      <c r="C209" s="4" t="n"/>
      <c r="D209" s="4" t="n"/>
      <c r="E209" s="4" t="n"/>
      <c r="F209" s="16" t="n"/>
      <c r="G209" s="4" t="n"/>
      <c r="H209" s="4" t="n"/>
      <c r="I209" s="4" t="n"/>
      <c r="J209" s="4" t="n"/>
    </row>
    <row r="210">
      <c r="A210" s="18">
        <f>IF(F210&lt;&gt;"",ROW()-4,"")</f>
        <v/>
      </c>
      <c r="B210" s="15" t="n"/>
      <c r="C210" s="4" t="n"/>
      <c r="D210" s="4" t="n"/>
      <c r="E210" s="4" t="n"/>
      <c r="F210" s="16" t="n"/>
      <c r="G210" s="4" t="n"/>
      <c r="H210" s="4" t="n"/>
      <c r="I210" s="4" t="n"/>
      <c r="J210" s="4" t="n"/>
    </row>
    <row r="211">
      <c r="A211" s="14">
        <f>IF(F211&lt;&gt;"",ROW()-4,"")</f>
        <v/>
      </c>
      <c r="B211" s="15" t="n"/>
      <c r="C211" s="4" t="n"/>
      <c r="D211" s="4" t="n"/>
      <c r="E211" s="4" t="n"/>
      <c r="F211" s="16" t="n"/>
      <c r="G211" s="4" t="n"/>
      <c r="H211" s="4" t="n"/>
      <c r="I211" s="4" t="n"/>
      <c r="J211" s="4" t="n"/>
    </row>
    <row r="212">
      <c r="A212" s="18">
        <f>IF(F212&lt;&gt;"",ROW()-4,"")</f>
        <v/>
      </c>
      <c r="B212" s="15" t="n"/>
      <c r="C212" s="4" t="n"/>
      <c r="D212" s="4" t="n"/>
      <c r="E212" s="4" t="n"/>
      <c r="F212" s="16" t="n"/>
      <c r="G212" s="4" t="n"/>
      <c r="H212" s="4" t="n"/>
      <c r="I212" s="4" t="n"/>
      <c r="J212" s="4" t="n"/>
    </row>
    <row r="213">
      <c r="A213" s="14">
        <f>IF(F213&lt;&gt;"",ROW()-4,"")</f>
        <v/>
      </c>
      <c r="B213" s="15" t="n"/>
      <c r="C213" s="4" t="n"/>
      <c r="D213" s="4" t="n"/>
      <c r="E213" s="4" t="n"/>
      <c r="F213" s="16" t="n"/>
      <c r="G213" s="4" t="n"/>
      <c r="H213" s="4" t="n"/>
      <c r="I213" s="4" t="n"/>
      <c r="J213" s="4" t="n"/>
    </row>
    <row r="214">
      <c r="A214" s="18">
        <f>IF(F214&lt;&gt;"",ROW()-4,"")</f>
        <v/>
      </c>
      <c r="B214" s="15" t="n"/>
      <c r="C214" s="4" t="n"/>
      <c r="D214" s="4" t="n"/>
      <c r="E214" s="4" t="n"/>
      <c r="F214" s="16" t="n"/>
      <c r="G214" s="4" t="n"/>
      <c r="H214" s="4" t="n"/>
      <c r="I214" s="4" t="n"/>
      <c r="J214" s="4" t="n"/>
    </row>
    <row r="215">
      <c r="A215" s="14">
        <f>IF(F215&lt;&gt;"",ROW()-4,"")</f>
        <v/>
      </c>
      <c r="B215" s="15" t="n"/>
      <c r="C215" s="4" t="n"/>
      <c r="D215" s="4" t="n"/>
      <c r="E215" s="4" t="n"/>
      <c r="F215" s="16" t="n"/>
      <c r="G215" s="4" t="n"/>
      <c r="H215" s="4" t="n"/>
      <c r="I215" s="4" t="n"/>
      <c r="J215" s="4" t="n"/>
    </row>
    <row r="216">
      <c r="A216" s="18">
        <f>IF(F216&lt;&gt;"",ROW()-4,"")</f>
        <v/>
      </c>
      <c r="B216" s="15" t="n"/>
      <c r="C216" s="4" t="n"/>
      <c r="D216" s="4" t="n"/>
      <c r="E216" s="4" t="n"/>
      <c r="F216" s="16" t="n"/>
      <c r="G216" s="4" t="n"/>
      <c r="H216" s="4" t="n"/>
      <c r="I216" s="4" t="n"/>
      <c r="J216" s="4" t="n"/>
    </row>
    <row r="217">
      <c r="A217" s="14">
        <f>IF(F217&lt;&gt;"",ROW()-4,"")</f>
        <v/>
      </c>
      <c r="B217" s="15" t="n"/>
      <c r="C217" s="4" t="n"/>
      <c r="D217" s="4" t="n"/>
      <c r="E217" s="4" t="n"/>
      <c r="F217" s="16" t="n"/>
      <c r="G217" s="4" t="n"/>
      <c r="H217" s="4" t="n"/>
      <c r="I217" s="4" t="n"/>
      <c r="J217" s="4" t="n"/>
    </row>
    <row r="218">
      <c r="A218" s="18">
        <f>IF(F218&lt;&gt;"",ROW()-4,"")</f>
        <v/>
      </c>
      <c r="B218" s="15" t="n"/>
      <c r="C218" s="4" t="n"/>
      <c r="D218" s="4" t="n"/>
      <c r="E218" s="4" t="n"/>
      <c r="F218" s="16" t="n"/>
      <c r="G218" s="4" t="n"/>
      <c r="H218" s="4" t="n"/>
      <c r="I218" s="4" t="n"/>
      <c r="J218" s="4" t="n"/>
    </row>
    <row r="219">
      <c r="A219" s="14">
        <f>IF(F219&lt;&gt;"",ROW()-4,"")</f>
        <v/>
      </c>
      <c r="B219" s="15" t="n"/>
      <c r="C219" s="4" t="n"/>
      <c r="D219" s="4" t="n"/>
      <c r="E219" s="4" t="n"/>
      <c r="F219" s="16" t="n"/>
      <c r="G219" s="4" t="n"/>
      <c r="H219" s="4" t="n"/>
      <c r="I219" s="4" t="n"/>
      <c r="J219" s="4" t="n"/>
    </row>
    <row r="220">
      <c r="A220" s="18">
        <f>IF(F220&lt;&gt;"",ROW()-4,"")</f>
        <v/>
      </c>
      <c r="B220" s="15" t="n"/>
      <c r="C220" s="4" t="n"/>
      <c r="D220" s="4" t="n"/>
      <c r="E220" s="4" t="n"/>
      <c r="F220" s="16" t="n"/>
      <c r="G220" s="4" t="n"/>
      <c r="H220" s="4" t="n"/>
      <c r="I220" s="4" t="n"/>
      <c r="J220" s="4" t="n"/>
    </row>
    <row r="221">
      <c r="A221" s="14">
        <f>IF(F221&lt;&gt;"",ROW()-4,"")</f>
        <v/>
      </c>
      <c r="B221" s="15" t="n"/>
      <c r="C221" s="4" t="n"/>
      <c r="D221" s="4" t="n"/>
      <c r="E221" s="4" t="n"/>
      <c r="F221" s="16" t="n"/>
      <c r="G221" s="4" t="n"/>
      <c r="H221" s="4" t="n"/>
      <c r="I221" s="4" t="n"/>
      <c r="J221" s="4" t="n"/>
    </row>
    <row r="222">
      <c r="A222" s="18">
        <f>IF(F222&lt;&gt;"",ROW()-4,"")</f>
        <v/>
      </c>
      <c r="B222" s="15" t="n"/>
      <c r="C222" s="4" t="n"/>
      <c r="D222" s="4" t="n"/>
      <c r="E222" s="4" t="n"/>
      <c r="F222" s="16" t="n"/>
      <c r="G222" s="4" t="n"/>
      <c r="H222" s="4" t="n"/>
      <c r="I222" s="4" t="n"/>
      <c r="J222" s="4" t="n"/>
    </row>
    <row r="223">
      <c r="A223" s="14">
        <f>IF(F223&lt;&gt;"",ROW()-4,"")</f>
        <v/>
      </c>
      <c r="B223" s="15" t="n"/>
      <c r="C223" s="4" t="n"/>
      <c r="D223" s="4" t="n"/>
      <c r="E223" s="4" t="n"/>
      <c r="F223" s="16" t="n"/>
      <c r="G223" s="4" t="n"/>
      <c r="H223" s="4" t="n"/>
      <c r="I223" s="4" t="n"/>
      <c r="J223" s="4" t="n"/>
    </row>
    <row r="224">
      <c r="A224" s="18">
        <f>IF(F224&lt;&gt;"",ROW()-4,"")</f>
        <v/>
      </c>
      <c r="B224" s="15" t="n"/>
      <c r="C224" s="4" t="n"/>
      <c r="D224" s="4" t="n"/>
      <c r="E224" s="4" t="n"/>
      <c r="F224" s="16" t="n"/>
      <c r="G224" s="4" t="n"/>
      <c r="H224" s="4" t="n"/>
      <c r="I224" s="4" t="n"/>
      <c r="J224" s="4" t="n"/>
    </row>
    <row r="225">
      <c r="A225" s="14">
        <f>IF(F225&lt;&gt;"",ROW()-4,"")</f>
        <v/>
      </c>
      <c r="B225" s="15" t="n"/>
      <c r="C225" s="4" t="n"/>
      <c r="D225" s="4" t="n"/>
      <c r="E225" s="4" t="n"/>
      <c r="F225" s="16" t="n"/>
      <c r="G225" s="4" t="n"/>
      <c r="H225" s="4" t="n"/>
      <c r="I225" s="4" t="n"/>
      <c r="J225" s="4" t="n"/>
    </row>
    <row r="226">
      <c r="A226" s="18">
        <f>IF(F226&lt;&gt;"",ROW()-4,"")</f>
        <v/>
      </c>
      <c r="B226" s="15" t="n"/>
      <c r="C226" s="4" t="n"/>
      <c r="D226" s="4" t="n"/>
      <c r="E226" s="4" t="n"/>
      <c r="F226" s="16" t="n"/>
      <c r="G226" s="4" t="n"/>
      <c r="H226" s="4" t="n"/>
      <c r="I226" s="4" t="n"/>
      <c r="J226" s="4" t="n"/>
    </row>
    <row r="227">
      <c r="A227" s="14">
        <f>IF(F227&lt;&gt;"",ROW()-4,"")</f>
        <v/>
      </c>
      <c r="B227" s="15" t="n"/>
      <c r="C227" s="4" t="n"/>
      <c r="D227" s="4" t="n"/>
      <c r="E227" s="4" t="n"/>
      <c r="F227" s="16" t="n"/>
      <c r="G227" s="4" t="n"/>
      <c r="H227" s="4" t="n"/>
      <c r="I227" s="4" t="n"/>
      <c r="J227" s="4" t="n"/>
    </row>
    <row r="228">
      <c r="A228" s="18">
        <f>IF(F228&lt;&gt;"",ROW()-4,"")</f>
        <v/>
      </c>
      <c r="B228" s="15" t="n"/>
      <c r="C228" s="4" t="n"/>
      <c r="D228" s="4" t="n"/>
      <c r="E228" s="4" t="n"/>
      <c r="F228" s="16" t="n"/>
      <c r="G228" s="4" t="n"/>
      <c r="H228" s="4" t="n"/>
      <c r="I228" s="4" t="n"/>
      <c r="J228" s="4" t="n"/>
    </row>
    <row r="229">
      <c r="A229" s="14">
        <f>IF(F229&lt;&gt;"",ROW()-4,"")</f>
        <v/>
      </c>
      <c r="B229" s="15" t="n"/>
      <c r="C229" s="4" t="n"/>
      <c r="D229" s="4" t="n"/>
      <c r="E229" s="4" t="n"/>
      <c r="F229" s="16" t="n"/>
      <c r="G229" s="4" t="n"/>
      <c r="H229" s="4" t="n"/>
      <c r="I229" s="4" t="n"/>
      <c r="J229" s="4" t="n"/>
    </row>
    <row r="230">
      <c r="A230" s="18">
        <f>IF(F230&lt;&gt;"",ROW()-4,"")</f>
        <v/>
      </c>
      <c r="B230" s="15" t="n"/>
      <c r="C230" s="4" t="n"/>
      <c r="D230" s="4" t="n"/>
      <c r="E230" s="4" t="n"/>
      <c r="F230" s="16" t="n"/>
      <c r="G230" s="4" t="n"/>
      <c r="H230" s="4" t="n"/>
      <c r="I230" s="4" t="n"/>
      <c r="J230" s="4" t="n"/>
    </row>
    <row r="231">
      <c r="A231" s="14">
        <f>IF(F231&lt;&gt;"",ROW()-4,"")</f>
        <v/>
      </c>
      <c r="B231" s="15" t="n"/>
      <c r="C231" s="4" t="n"/>
      <c r="D231" s="4" t="n"/>
      <c r="E231" s="4" t="n"/>
      <c r="F231" s="16" t="n"/>
      <c r="G231" s="4" t="n"/>
      <c r="H231" s="4" t="n"/>
      <c r="I231" s="4" t="n"/>
      <c r="J231" s="4" t="n"/>
    </row>
    <row r="232">
      <c r="A232" s="18">
        <f>IF(F232&lt;&gt;"",ROW()-4,"")</f>
        <v/>
      </c>
      <c r="B232" s="15" t="n"/>
      <c r="C232" s="4" t="n"/>
      <c r="D232" s="4" t="n"/>
      <c r="E232" s="4" t="n"/>
      <c r="F232" s="16" t="n"/>
      <c r="G232" s="4" t="n"/>
      <c r="H232" s="4" t="n"/>
      <c r="I232" s="4" t="n"/>
      <c r="J232" s="4" t="n"/>
    </row>
    <row r="233">
      <c r="A233" s="14">
        <f>IF(F233&lt;&gt;"",ROW()-4,"")</f>
        <v/>
      </c>
      <c r="B233" s="15" t="n"/>
      <c r="C233" s="4" t="n"/>
      <c r="D233" s="4" t="n"/>
      <c r="E233" s="4" t="n"/>
      <c r="F233" s="16" t="n"/>
      <c r="G233" s="4" t="n"/>
      <c r="H233" s="4" t="n"/>
      <c r="I233" s="4" t="n"/>
      <c r="J233" s="4" t="n"/>
    </row>
    <row r="234">
      <c r="A234" s="18">
        <f>IF(F234&lt;&gt;"",ROW()-4,"")</f>
        <v/>
      </c>
      <c r="B234" s="15" t="n"/>
      <c r="C234" s="4" t="n"/>
      <c r="D234" s="4" t="n"/>
      <c r="E234" s="4" t="n"/>
      <c r="F234" s="16" t="n"/>
      <c r="G234" s="4" t="n"/>
      <c r="H234" s="4" t="n"/>
      <c r="I234" s="4" t="n"/>
      <c r="J234" s="4" t="n"/>
    </row>
    <row r="235">
      <c r="A235" s="14">
        <f>IF(F235&lt;&gt;"",ROW()-4,"")</f>
        <v/>
      </c>
      <c r="B235" s="15" t="n"/>
      <c r="C235" s="4" t="n"/>
      <c r="D235" s="4" t="n"/>
      <c r="E235" s="4" t="n"/>
      <c r="F235" s="16" t="n"/>
      <c r="G235" s="4" t="n"/>
      <c r="H235" s="4" t="n"/>
      <c r="I235" s="4" t="n"/>
      <c r="J235" s="4" t="n"/>
    </row>
    <row r="236">
      <c r="A236" s="18">
        <f>IF(F236&lt;&gt;"",ROW()-4,"")</f>
        <v/>
      </c>
      <c r="B236" s="15" t="n"/>
      <c r="C236" s="4" t="n"/>
      <c r="D236" s="4" t="n"/>
      <c r="E236" s="4" t="n"/>
      <c r="F236" s="16" t="n"/>
      <c r="G236" s="4" t="n"/>
      <c r="H236" s="4" t="n"/>
      <c r="I236" s="4" t="n"/>
      <c r="J236" s="4" t="n"/>
    </row>
    <row r="237">
      <c r="A237" s="14">
        <f>IF(F237&lt;&gt;"",ROW()-4,"")</f>
        <v/>
      </c>
      <c r="B237" s="15" t="n"/>
      <c r="C237" s="4" t="n"/>
      <c r="D237" s="4" t="n"/>
      <c r="E237" s="4" t="n"/>
      <c r="F237" s="16" t="n"/>
      <c r="G237" s="4" t="n"/>
      <c r="H237" s="4" t="n"/>
      <c r="I237" s="4" t="n"/>
      <c r="J237" s="4" t="n"/>
    </row>
    <row r="238">
      <c r="A238" s="18">
        <f>IF(F238&lt;&gt;"",ROW()-4,"")</f>
        <v/>
      </c>
      <c r="B238" s="15" t="n"/>
      <c r="C238" s="4" t="n"/>
      <c r="D238" s="4" t="n"/>
      <c r="E238" s="4" t="n"/>
      <c r="F238" s="16" t="n"/>
      <c r="G238" s="4" t="n"/>
      <c r="H238" s="4" t="n"/>
      <c r="I238" s="4" t="n"/>
      <c r="J238" s="4" t="n"/>
    </row>
    <row r="239">
      <c r="A239" s="14">
        <f>IF(F239&lt;&gt;"",ROW()-4,"")</f>
        <v/>
      </c>
      <c r="B239" s="15" t="n"/>
      <c r="C239" s="4" t="n"/>
      <c r="D239" s="4" t="n"/>
      <c r="E239" s="4" t="n"/>
      <c r="F239" s="16" t="n"/>
      <c r="G239" s="4" t="n"/>
      <c r="H239" s="4" t="n"/>
      <c r="I239" s="4" t="n"/>
      <c r="J239" s="4" t="n"/>
    </row>
    <row r="240">
      <c r="A240" s="18">
        <f>IF(F240&lt;&gt;"",ROW()-4,"")</f>
        <v/>
      </c>
      <c r="B240" s="15" t="n"/>
      <c r="C240" s="4" t="n"/>
      <c r="D240" s="4" t="n"/>
      <c r="E240" s="4" t="n"/>
      <c r="F240" s="16" t="n"/>
      <c r="G240" s="4" t="n"/>
      <c r="H240" s="4" t="n"/>
      <c r="I240" s="4" t="n"/>
      <c r="J240" s="4" t="n"/>
    </row>
    <row r="241">
      <c r="A241" s="14">
        <f>IF(F241&lt;&gt;"",ROW()-4,"")</f>
        <v/>
      </c>
      <c r="B241" s="15" t="n"/>
      <c r="C241" s="4" t="n"/>
      <c r="D241" s="4" t="n"/>
      <c r="E241" s="4" t="n"/>
      <c r="F241" s="16" t="n"/>
      <c r="G241" s="4" t="n"/>
      <c r="H241" s="4" t="n"/>
      <c r="I241" s="4" t="n"/>
      <c r="J241" s="4" t="n"/>
    </row>
    <row r="242">
      <c r="A242" s="18">
        <f>IF(F242&lt;&gt;"",ROW()-4,"")</f>
        <v/>
      </c>
      <c r="B242" s="15" t="n"/>
      <c r="C242" s="4" t="n"/>
      <c r="D242" s="4" t="n"/>
      <c r="E242" s="4" t="n"/>
      <c r="F242" s="16" t="n"/>
      <c r="G242" s="4" t="n"/>
      <c r="H242" s="4" t="n"/>
      <c r="I242" s="4" t="n"/>
      <c r="J242" s="4" t="n"/>
    </row>
    <row r="243">
      <c r="A243" s="14">
        <f>IF(F243&lt;&gt;"",ROW()-4,"")</f>
        <v/>
      </c>
      <c r="B243" s="15" t="n"/>
      <c r="C243" s="4" t="n"/>
      <c r="D243" s="4" t="n"/>
      <c r="E243" s="4" t="n"/>
      <c r="F243" s="16" t="n"/>
      <c r="G243" s="4" t="n"/>
      <c r="H243" s="4" t="n"/>
      <c r="I243" s="4" t="n"/>
      <c r="J243" s="4" t="n"/>
    </row>
    <row r="244">
      <c r="A244" s="18">
        <f>IF(F244&lt;&gt;"",ROW()-4,"")</f>
        <v/>
      </c>
      <c r="B244" s="15" t="n"/>
      <c r="C244" s="4" t="n"/>
      <c r="D244" s="4" t="n"/>
      <c r="E244" s="4" t="n"/>
      <c r="F244" s="16" t="n"/>
      <c r="G244" s="4" t="n"/>
      <c r="H244" s="4" t="n"/>
      <c r="I244" s="4" t="n"/>
      <c r="J244" s="4" t="n"/>
    </row>
    <row r="245">
      <c r="A245" s="14">
        <f>IF(F245&lt;&gt;"",ROW()-4,"")</f>
        <v/>
      </c>
      <c r="B245" s="15" t="n"/>
      <c r="C245" s="4" t="n"/>
      <c r="D245" s="4" t="n"/>
      <c r="E245" s="4" t="n"/>
      <c r="F245" s="16" t="n"/>
      <c r="G245" s="4" t="n"/>
      <c r="H245" s="4" t="n"/>
      <c r="I245" s="4" t="n"/>
      <c r="J245" s="4" t="n"/>
    </row>
    <row r="246">
      <c r="A246" s="18">
        <f>IF(F246&lt;&gt;"",ROW()-4,"")</f>
        <v/>
      </c>
      <c r="B246" s="15" t="n"/>
      <c r="C246" s="4" t="n"/>
      <c r="D246" s="4" t="n"/>
      <c r="E246" s="4" t="n"/>
      <c r="F246" s="16" t="n"/>
      <c r="G246" s="4" t="n"/>
      <c r="H246" s="4" t="n"/>
      <c r="I246" s="4" t="n"/>
      <c r="J246" s="4" t="n"/>
    </row>
    <row r="247">
      <c r="A247" s="14">
        <f>IF(F247&lt;&gt;"",ROW()-4,"")</f>
        <v/>
      </c>
      <c r="B247" s="15" t="n"/>
      <c r="C247" s="4" t="n"/>
      <c r="D247" s="4" t="n"/>
      <c r="E247" s="4" t="n"/>
      <c r="F247" s="16" t="n"/>
      <c r="G247" s="4" t="n"/>
      <c r="H247" s="4" t="n"/>
      <c r="I247" s="4" t="n"/>
      <c r="J247" s="4" t="n"/>
    </row>
    <row r="248">
      <c r="A248" s="18">
        <f>IF(F248&lt;&gt;"",ROW()-4,"")</f>
        <v/>
      </c>
      <c r="B248" s="15" t="n"/>
      <c r="C248" s="4" t="n"/>
      <c r="D248" s="4" t="n"/>
      <c r="E248" s="4" t="n"/>
      <c r="F248" s="16" t="n"/>
      <c r="G248" s="4" t="n"/>
      <c r="H248" s="4" t="n"/>
      <c r="I248" s="4" t="n"/>
      <c r="J248" s="4" t="n"/>
    </row>
    <row r="249">
      <c r="A249" s="14">
        <f>IF(F249&lt;&gt;"",ROW()-4,"")</f>
        <v/>
      </c>
      <c r="B249" s="15" t="n"/>
      <c r="C249" s="4" t="n"/>
      <c r="D249" s="4" t="n"/>
      <c r="E249" s="4" t="n"/>
      <c r="F249" s="16" t="n"/>
      <c r="G249" s="4" t="n"/>
      <c r="H249" s="4" t="n"/>
      <c r="I249" s="4" t="n"/>
      <c r="J249" s="4" t="n"/>
    </row>
    <row r="250">
      <c r="A250" s="18">
        <f>IF(F250&lt;&gt;"",ROW()-4,"")</f>
        <v/>
      </c>
      <c r="B250" s="15" t="n"/>
      <c r="C250" s="4" t="n"/>
      <c r="D250" s="4" t="n"/>
      <c r="E250" s="4" t="n"/>
      <c r="F250" s="16" t="n"/>
      <c r="G250" s="4" t="n"/>
      <c r="H250" s="4" t="n"/>
      <c r="I250" s="4" t="n"/>
      <c r="J250" s="4" t="n"/>
    </row>
    <row r="251">
      <c r="A251" s="14">
        <f>IF(F251&lt;&gt;"",ROW()-4,"")</f>
        <v/>
      </c>
      <c r="B251" s="15" t="n"/>
      <c r="C251" s="4" t="n"/>
      <c r="D251" s="4" t="n"/>
      <c r="E251" s="4" t="n"/>
      <c r="F251" s="16" t="n"/>
      <c r="G251" s="4" t="n"/>
      <c r="H251" s="4" t="n"/>
      <c r="I251" s="4" t="n"/>
      <c r="J251" s="4" t="n"/>
    </row>
    <row r="252">
      <c r="A252" s="18">
        <f>IF(F252&lt;&gt;"",ROW()-4,"")</f>
        <v/>
      </c>
      <c r="B252" s="15" t="n"/>
      <c r="C252" s="4" t="n"/>
      <c r="D252" s="4" t="n"/>
      <c r="E252" s="4" t="n"/>
      <c r="F252" s="16" t="n"/>
      <c r="G252" s="4" t="n"/>
      <c r="H252" s="4" t="n"/>
      <c r="I252" s="4" t="n"/>
      <c r="J252" s="4" t="n"/>
    </row>
    <row r="253">
      <c r="A253" s="14">
        <f>IF(F253&lt;&gt;"",ROW()-4,"")</f>
        <v/>
      </c>
      <c r="B253" s="15" t="n"/>
      <c r="C253" s="4" t="n"/>
      <c r="D253" s="4" t="n"/>
      <c r="E253" s="4" t="n"/>
      <c r="F253" s="16" t="n"/>
      <c r="G253" s="4" t="n"/>
      <c r="H253" s="4" t="n"/>
      <c r="I253" s="4" t="n"/>
      <c r="J253" s="4" t="n"/>
    </row>
    <row r="254">
      <c r="A254" s="18">
        <f>IF(F254&lt;&gt;"",ROW()-4,"")</f>
        <v/>
      </c>
      <c r="B254" s="15" t="n"/>
      <c r="C254" s="4" t="n"/>
      <c r="D254" s="4" t="n"/>
      <c r="E254" s="4" t="n"/>
      <c r="F254" s="16" t="n"/>
      <c r="G254" s="4" t="n"/>
      <c r="H254" s="4" t="n"/>
      <c r="I254" s="4" t="n"/>
      <c r="J254" s="4" t="n"/>
    </row>
    <row r="255">
      <c r="A255" s="14">
        <f>IF(F255&lt;&gt;"",ROW()-4,"")</f>
        <v/>
      </c>
      <c r="B255" s="15" t="n"/>
      <c r="C255" s="4" t="n"/>
      <c r="D255" s="4" t="n"/>
      <c r="E255" s="4" t="n"/>
      <c r="F255" s="16" t="n"/>
      <c r="G255" s="4" t="n"/>
      <c r="H255" s="4" t="n"/>
      <c r="I255" s="4" t="n"/>
      <c r="J255" s="4" t="n"/>
    </row>
    <row r="256" ht="24" customHeight="1">
      <c r="A256" s="19" t="inlineStr">
        <is>
          <t>TOTAL EXPENSES THIS MONTH</t>
        </is>
      </c>
      <c r="F256" s="11">
        <f>SUM(F5:F255)</f>
        <v/>
      </c>
      <c r="G256" s="12" t="n"/>
      <c r="H256" s="12" t="n"/>
      <c r="I256" s="12" t="n"/>
      <c r="J256" s="12" t="n"/>
    </row>
  </sheetData>
  <mergeCells count="3">
    <mergeCell ref="A1:J1"/>
    <mergeCell ref="A2:J2"/>
    <mergeCell ref="A256:E256"/>
  </mergeCells>
  <conditionalFormatting sqref="A5:J255">
    <cfRule type="expression" priority="1" dxfId="0">
      <formula>$D5="Fixed Bills"</formula>
    </cfRule>
    <cfRule type="expression" priority="2" dxfId="1">
      <formula>$D5="Food &amp; Dining"</formula>
    </cfRule>
    <cfRule type="expression" priority="3" dxfId="2">
      <formula>$D5="Transport &amp; Fuel"</formula>
    </cfRule>
    <cfRule type="expression" priority="4" dxfId="3">
      <formula>$D5="Shopping &amp; Clothing"</formula>
    </cfRule>
    <cfRule type="expression" priority="5" dxfId="4">
      <formula>$D5="Entertainment &amp; OTT"</formula>
    </cfRule>
    <cfRule type="expression" priority="6" dxfId="5">
      <formula>$D5="Groceries"</formula>
    </cfRule>
    <cfRule type="expression" priority="7" dxfId="6">
      <formula>$D5="Investment"</formula>
    </cfRule>
    <cfRule type="expression" priority="8" dxfId="7">
      <formula>$D5="Added to Savings"</formula>
    </cfRule>
    <cfRule type="expression" priority="9" dxfId="8">
      <formula>$D5="Credit Card Payment"</formula>
    </cfRule>
    <cfRule type="expression" priority="10" dxfId="9">
      <formula>$D5="Miscellaneous"</formula>
    </cfRule>
  </conditionalFormatting>
  <dataValidations count="5">
    <dataValidation sqref="D5:D255" showErrorMessage="1" showInputMessage="1" allowBlank="1" errorTitle="Invalid Category" error="Pick a category from the list" type="list">
      <formula1>_Lists!$A$1:$A$10</formula1>
    </dataValidation>
    <dataValidation sqref="E5:E255" showErrorMessage="1" showDropDown="0" showInputMessage="1" allowBlank="1" type="list">
      <formula1>_Lists!$O$1:$O$41</formula1>
    </dataValidation>
    <dataValidation sqref="G5:G255" showErrorMessage="1" showInputMessage="1" allowBlank="1" type="list">
      <formula1>_Lists!$Q$1:$Q$8</formula1>
    </dataValidation>
    <dataValidation sqref="H5:H255" showErrorMessage="1" showInputMessage="1" allowBlank="1" type="list">
      <formula1>Setup!$D$5:$D$9</formula1>
    </dataValidation>
    <dataValidation sqref="I5:I255" showErrorMessage="1" showInputMessage="1" allowBlank="1" type="list">
      <formula1>_Lists!$R$1:$R$10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22" customWidth="1" min="4" max="4"/>
    <col width="22" customWidth="1" min="5" max="5"/>
    <col width="14" customWidth="1" min="6" max="6"/>
    <col width="20" customWidth="1" min="7" max="7"/>
    <col width="20" customWidth="1" min="8" max="8"/>
    <col width="22" customWidth="1" min="9" max="9"/>
    <col width="22" customWidth="1" min="10" max="10"/>
    <col width="2" customWidth="1" min="11" max="11"/>
    <col width="26" customWidth="1" min="12" max="12"/>
    <col width="16" customWidth="1" min="13" max="13"/>
  </cols>
  <sheetData>
    <row r="1" ht="36" customHeight="1">
      <c r="A1" s="1" t="inlineStr">
        <is>
          <t>📝  FEBRUARY — EXPENSE LOG</t>
        </is>
      </c>
    </row>
    <row r="2" ht="32" customHeight="1">
      <c r="A2" s="13" t="inlineStr">
        <is>
          <t>ℹ️  Date is DateTime. Category dropdown → Sub-category changes automatically. 'Added to Savings' → pick your saving account in Sub-category. CC spend → pick card in 'CC Name'. CC payment → increases card limit.</t>
        </is>
      </c>
    </row>
    <row r="4" ht="28" customHeight="1">
      <c r="A4" s="3" t="inlineStr">
        <is>
          <t>#</t>
        </is>
      </c>
      <c r="B4" s="3" t="inlineStr">
        <is>
          <t>Date &amp; Time</t>
        </is>
      </c>
      <c r="C4" s="3" t="inlineStr">
        <is>
          <t>Description</t>
        </is>
      </c>
      <c r="D4" s="3" t="inlineStr">
        <is>
          <t>Category</t>
        </is>
      </c>
      <c r="E4" s="3" t="inlineStr">
        <is>
          <t>Sub-category</t>
        </is>
      </c>
      <c r="F4" s="3" t="inlineStr">
        <is>
          <t>Amount (₹)</t>
        </is>
      </c>
      <c r="G4" s="3" t="inlineStr">
        <is>
          <t>Paid From</t>
        </is>
      </c>
      <c r="H4" s="3" t="inlineStr">
        <is>
          <t>CC Name</t>
        </is>
      </c>
      <c r="I4" s="3" t="inlineStr">
        <is>
          <t>Account</t>
        </is>
      </c>
      <c r="J4" s="3" t="inlineStr">
        <is>
          <t>Notes</t>
        </is>
      </c>
      <c r="L4" s="3" t="inlineStr">
        <is>
          <t>📊  February Summary</t>
        </is>
      </c>
      <c r="M4" s="3" t="inlineStr">
        <is>
          <t>Amount (₹)</t>
        </is>
      </c>
    </row>
    <row r="5" ht="22" customHeight="1">
      <c r="A5" s="14">
        <f>IF(F5&lt;&gt;"",ROW()-4,"")</f>
        <v/>
      </c>
      <c r="B5" s="15" t="n"/>
      <c r="C5" s="4" t="n"/>
      <c r="D5" s="4" t="n"/>
      <c r="E5" s="4" t="n"/>
      <c r="F5" s="16" t="n"/>
      <c r="G5" s="4" t="n"/>
      <c r="H5" s="4" t="n"/>
      <c r="I5" s="4" t="n"/>
      <c r="J5" s="4" t="n"/>
      <c r="L5" s="17" t="inlineStr">
        <is>
          <t>Total Expenses</t>
        </is>
      </c>
      <c r="M5" s="9">
        <f>F256</f>
        <v/>
      </c>
    </row>
    <row r="6" ht="22" customHeight="1">
      <c r="A6" s="18">
        <f>IF(F6&lt;&gt;"",ROW()-4,"")</f>
        <v/>
      </c>
      <c r="B6" s="15" t="n"/>
      <c r="C6" s="4" t="n"/>
      <c r="D6" s="4" t="n"/>
      <c r="E6" s="4" t="n"/>
      <c r="F6" s="16" t="n"/>
      <c r="G6" s="4" t="n"/>
      <c r="H6" s="4" t="n"/>
      <c r="I6" s="4" t="n"/>
      <c r="J6" s="4" t="n"/>
      <c r="L6" s="17" t="inlineStr">
        <is>
          <t>Income This Month</t>
        </is>
      </c>
      <c r="M6" s="9">
        <f>Income!E14</f>
        <v/>
      </c>
    </row>
    <row r="7" ht="22" customHeight="1">
      <c r="A7" s="14">
        <f>IF(F7&lt;&gt;"",ROW()-4,"")</f>
        <v/>
      </c>
      <c r="B7" s="15" t="n"/>
      <c r="C7" s="4" t="n"/>
      <c r="D7" s="4" t="n"/>
      <c r="E7" s="4" t="n"/>
      <c r="F7" s="16" t="n"/>
      <c r="G7" s="4" t="n"/>
      <c r="H7" s="4" t="n"/>
      <c r="I7" s="4" t="n"/>
      <c r="J7" s="4" t="n"/>
      <c r="L7" s="17" t="inlineStr">
        <is>
          <t>Net This Month</t>
        </is>
      </c>
      <c r="M7" s="9">
        <f>M6-M5</f>
        <v/>
      </c>
    </row>
    <row r="8" ht="22" customHeight="1">
      <c r="A8" s="18">
        <f>IF(F8&lt;&gt;"",ROW()-4,"")</f>
        <v/>
      </c>
      <c r="B8" s="15" t="n"/>
      <c r="C8" s="4" t="n"/>
      <c r="D8" s="4" t="n"/>
      <c r="E8" s="4" t="n"/>
      <c r="F8" s="16" t="n"/>
      <c r="G8" s="4" t="n"/>
      <c r="H8" s="4" t="n"/>
      <c r="I8" s="4" t="n"/>
      <c r="J8" s="4" t="n"/>
      <c r="L8" s="17" t="inlineStr">
        <is>
          <t>Savings 1 (this month)</t>
        </is>
      </c>
      <c r="M8" s="9">
        <f>IF(Setup!A13&lt;&gt;"",SUMIFS(F5:F255,D5:D255,"Added to Savings",I5:I255,Setup!A13)-SUMIFS(F5:F255,G5:G255,Setup!A13),"")</f>
        <v/>
      </c>
    </row>
    <row r="9" ht="22" customHeight="1">
      <c r="A9" s="14">
        <f>IF(F9&lt;&gt;"",ROW()-4,"")</f>
        <v/>
      </c>
      <c r="B9" s="15" t="n"/>
      <c r="C9" s="4" t="n"/>
      <c r="D9" s="4" t="n"/>
      <c r="E9" s="4" t="n"/>
      <c r="F9" s="16" t="n"/>
      <c r="G9" s="4" t="n"/>
      <c r="H9" s="4" t="n"/>
      <c r="I9" s="4" t="n"/>
      <c r="J9" s="4" t="n"/>
      <c r="L9" s="17" t="inlineStr">
        <is>
          <t>Savings 1 (balance)</t>
        </is>
      </c>
      <c r="M9" s="9">
        <f>IF(Setup!A13&lt;&gt;"",Setup!B13+(SUMIFS('April'!F5:F64,'April'!D5:D64,"Added to Savings",'April'!I5:I64,Setup!A13)+SUMIFS('May'!F5:F64,'May'!D5:D64,"Added to Savings",'May'!I5:I64,Setup!A13)+SUMIFS('June'!F5:F64,'June'!D5:D64,"Added to Savings",'June'!I5:I64,Setup!A13)+SUMIFS('July'!F5:F64,'July'!D5:D64,"Added to Savings",'July'!I5:I64,Setup!A13)+SUMIFS('August'!F5:F64,'August'!D5:D64,"Added to Savings",'August'!I5:I64,Setup!A13)+SUMIFS('September'!F5:F64,'September'!D5:D64,"Added to Savings",'September'!I5:I64,Setup!A13)+SUMIFS('October'!F5:F64,'October'!D5:D64,"Added to Savings",'October'!I5:I64,Setup!A13)+SUMIFS('November'!F5:F64,'November'!D5:D64,"Added to Savings",'November'!I5:I64,Setup!A13)+SUMIFS('December'!F5:F64,'December'!D5:D64,"Added to Savings",'December'!I5:I64,Setup!A13)+SUMIFS('January'!F5:F64,'January'!D5:D64,"Added to Savings",'January'!I5:I64,Setup!A13)+SUMIFS('February'!F5:F64,'February'!D5:D64,"Added to Savings",'February'!I5:I64,Setup!A13))-(SUMIFS('April'!F5:F64,'April'!G5:G64,Setup!A13)+SUMIFS('May'!F5:F64,'May'!G5:G64,Setup!A13)+SUMIFS('June'!F5:F64,'June'!G5:G64,Setup!A13)+SUMIFS('July'!F5:F64,'July'!G5:G64,Setup!A13)+SUMIFS('August'!F5:F64,'August'!G5:G64,Setup!A13)+SUMIFS('September'!F5:F64,'September'!G5:G64,Setup!A13)+SUMIFS('October'!F5:F64,'October'!G5:G64,Setup!A13)+SUMIFS('November'!F5:F64,'November'!G5:G64,Setup!A13)+SUMIFS('December'!F5:F64,'December'!G5:G64,Setup!A13)+SUMIFS('January'!F5:F64,'January'!G5:G64,Setup!A13)+SUMIFS('February'!F5:F64,'February'!G5:G64,Setup!A13)),"")</f>
        <v/>
      </c>
    </row>
    <row r="10" ht="22" customHeight="1">
      <c r="A10" s="18">
        <f>IF(F10&lt;&gt;"",ROW()-4,"")</f>
        <v/>
      </c>
      <c r="B10" s="15" t="n"/>
      <c r="C10" s="4" t="n"/>
      <c r="D10" s="4" t="n"/>
      <c r="E10" s="4" t="n"/>
      <c r="F10" s="16" t="n"/>
      <c r="G10" s="4" t="n"/>
      <c r="H10" s="4" t="n"/>
      <c r="I10" s="4" t="n"/>
      <c r="J10" s="4" t="n"/>
      <c r="L10" s="17" t="inlineStr">
        <is>
          <t>Savings 2 (this month)</t>
        </is>
      </c>
      <c r="M10" s="9">
        <f>IF(Setup!A14&lt;&gt;"",SUMIFS(F5:F255,D5:D255,"Added to Savings",I5:I255,Setup!A14)-SUMIFS(F5:F255,G5:G255,Setup!A14),"")</f>
        <v/>
      </c>
    </row>
    <row r="11" ht="22" customHeight="1">
      <c r="A11" s="14">
        <f>IF(F11&lt;&gt;"",ROW()-4,"")</f>
        <v/>
      </c>
      <c r="B11" s="15" t="n"/>
      <c r="C11" s="4" t="n"/>
      <c r="D11" s="4" t="n"/>
      <c r="E11" s="4" t="n"/>
      <c r="F11" s="16" t="n"/>
      <c r="G11" s="4" t="n"/>
      <c r="H11" s="4" t="n"/>
      <c r="I11" s="4" t="n"/>
      <c r="J11" s="4" t="n"/>
      <c r="L11" s="17" t="inlineStr">
        <is>
          <t>Savings 2 (balance)</t>
        </is>
      </c>
      <c r="M11" s="9">
        <f>IF(Setup!A14&lt;&gt;"",Setup!B14+(SUMIFS('April'!F5:F64,'April'!D5:D64,"Added to Savings",'April'!I5:I64,Setup!A14)+SUMIFS('May'!F5:F64,'May'!D5:D64,"Added to Savings",'May'!I5:I64,Setup!A14)+SUMIFS('June'!F5:F64,'June'!D5:D64,"Added to Savings",'June'!I5:I64,Setup!A14)+SUMIFS('July'!F5:F64,'July'!D5:D64,"Added to Savings",'July'!I5:I64,Setup!A14)+SUMIFS('August'!F5:F64,'August'!D5:D64,"Added to Savings",'August'!I5:I64,Setup!A14)+SUMIFS('September'!F5:F64,'September'!D5:D64,"Added to Savings",'September'!I5:I64,Setup!A14)+SUMIFS('October'!F5:F64,'October'!D5:D64,"Added to Savings",'October'!I5:I64,Setup!A14)+SUMIFS('November'!F5:F64,'November'!D5:D64,"Added to Savings",'November'!I5:I64,Setup!A14)+SUMIFS('December'!F5:F64,'December'!D5:D64,"Added to Savings",'December'!I5:I64,Setup!A14)+SUMIFS('January'!F5:F64,'January'!D5:D64,"Added to Savings",'January'!I5:I64,Setup!A14)+SUMIFS('February'!F5:F64,'February'!D5:D64,"Added to Savings",'February'!I5:I64,Setup!A14))-(SUMIFS('April'!F5:F64,'April'!G5:G64,Setup!A14)+SUMIFS('May'!F5:F64,'May'!G5:G64,Setup!A14)+SUMIFS('June'!F5:F64,'June'!G5:G64,Setup!A14)+SUMIFS('July'!F5:F64,'July'!G5:G64,Setup!A14)+SUMIFS('August'!F5:F64,'August'!G5:G64,Setup!A14)+SUMIFS('September'!F5:F64,'September'!G5:G64,Setup!A14)+SUMIFS('October'!F5:F64,'October'!G5:G64,Setup!A14)+SUMIFS('November'!F5:F64,'November'!G5:G64,Setup!A14)+SUMIFS('December'!F5:F64,'December'!G5:G64,Setup!A14)+SUMIFS('January'!F5:F64,'January'!G5:G64,Setup!A14)+SUMIFS('February'!F5:F64,'February'!G5:G64,Setup!A14)),"")</f>
        <v/>
      </c>
    </row>
    <row r="12" ht="22" customHeight="1">
      <c r="A12" s="18">
        <f>IF(F12&lt;&gt;"",ROW()-4,"")</f>
        <v/>
      </c>
      <c r="B12" s="15" t="n"/>
      <c r="C12" s="4" t="n"/>
      <c r="D12" s="4" t="n"/>
      <c r="E12" s="4" t="n"/>
      <c r="F12" s="16" t="n"/>
      <c r="G12" s="4" t="n"/>
      <c r="H12" s="4" t="n"/>
      <c r="I12" s="4" t="n"/>
      <c r="J12" s="4" t="n"/>
      <c r="L12" s="17" t="inlineStr">
        <is>
          <t>Savings 3 (this month)</t>
        </is>
      </c>
      <c r="M12" s="9">
        <f>IF(Setup!A15&lt;&gt;"",SUMIFS(F5:F255,D5:D255,"Added to Savings",I5:I255,Setup!A15)-SUMIFS(F5:F255,G5:G255,Setup!A15),"")</f>
        <v/>
      </c>
    </row>
    <row r="13" ht="22" customHeight="1">
      <c r="A13" s="14">
        <f>IF(F13&lt;&gt;"",ROW()-4,"")</f>
        <v/>
      </c>
      <c r="B13" s="15" t="n"/>
      <c r="C13" s="4" t="n"/>
      <c r="D13" s="4" t="n"/>
      <c r="E13" s="4" t="n"/>
      <c r="F13" s="16" t="n"/>
      <c r="G13" s="4" t="n"/>
      <c r="H13" s="4" t="n"/>
      <c r="I13" s="4" t="n"/>
      <c r="J13" s="4" t="n"/>
      <c r="L13" s="17" t="inlineStr">
        <is>
          <t>Savings 3 (balance)</t>
        </is>
      </c>
      <c r="M13" s="9">
        <f>IF(Setup!A15&lt;&gt;"",Setup!B15+(SUMIFS('April'!F5:F64,'April'!D5:D64,"Added to Savings",'April'!I5:I64,Setup!A15)+SUMIFS('May'!F5:F64,'May'!D5:D64,"Added to Savings",'May'!I5:I64,Setup!A15)+SUMIFS('June'!F5:F64,'June'!D5:D64,"Added to Savings",'June'!I5:I64,Setup!A15)+SUMIFS('July'!F5:F64,'July'!D5:D64,"Added to Savings",'July'!I5:I64,Setup!A15)+SUMIFS('August'!F5:F64,'August'!D5:D64,"Added to Savings",'August'!I5:I64,Setup!A15)+SUMIFS('September'!F5:F64,'September'!D5:D64,"Added to Savings",'September'!I5:I64,Setup!A15)+SUMIFS('October'!F5:F64,'October'!D5:D64,"Added to Savings",'October'!I5:I64,Setup!A15)+SUMIFS('November'!F5:F64,'November'!D5:D64,"Added to Savings",'November'!I5:I64,Setup!A15)+SUMIFS('December'!F5:F64,'December'!D5:D64,"Added to Savings",'December'!I5:I64,Setup!A15)+SUMIFS('January'!F5:F64,'January'!D5:D64,"Added to Savings",'January'!I5:I64,Setup!A15)+SUMIFS('February'!F5:F64,'February'!D5:D64,"Added to Savings",'February'!I5:I64,Setup!A15))-(SUMIFS('April'!F5:F64,'April'!G5:G64,Setup!A15)+SUMIFS('May'!F5:F64,'May'!G5:G64,Setup!A15)+SUMIFS('June'!F5:F64,'June'!G5:G64,Setup!A15)+SUMIFS('July'!F5:F64,'July'!G5:G64,Setup!A15)+SUMIFS('August'!F5:F64,'August'!G5:G64,Setup!A15)+SUMIFS('September'!F5:F64,'September'!G5:G64,Setup!A15)+SUMIFS('October'!F5:F64,'October'!G5:G64,Setup!A15)+SUMIFS('November'!F5:F64,'November'!G5:G64,Setup!A15)+SUMIFS('December'!F5:F64,'December'!G5:G64,Setup!A15)+SUMIFS('January'!F5:F64,'January'!G5:G64,Setup!A15)+SUMIFS('February'!F5:F64,'February'!G5:G64,Setup!A15)),"")</f>
        <v/>
      </c>
    </row>
    <row r="14" ht="22" customHeight="1">
      <c r="A14" s="18">
        <f>IF(F14&lt;&gt;"",ROW()-4,"")</f>
        <v/>
      </c>
      <c r="B14" s="15" t="n"/>
      <c r="C14" s="4" t="n"/>
      <c r="D14" s="4" t="n"/>
      <c r="E14" s="4" t="n"/>
      <c r="F14" s="16" t="n"/>
      <c r="G14" s="4" t="n"/>
      <c r="H14" s="4" t="n"/>
      <c r="I14" s="4" t="n"/>
      <c r="J14" s="4" t="n"/>
      <c r="L14" s="17" t="inlineStr">
        <is>
          <t>Savings 4 (this month)</t>
        </is>
      </c>
      <c r="M14" s="9">
        <f>IF(Setup!A16&lt;&gt;"",SUMIFS(F5:F255,D5:D255,"Added to Savings",I5:I255,Setup!A16)-SUMIFS(F5:F255,G5:G255,Setup!A16),"")</f>
        <v/>
      </c>
    </row>
    <row r="15" ht="22" customHeight="1">
      <c r="A15" s="14">
        <f>IF(F15&lt;&gt;"",ROW()-4,"")</f>
        <v/>
      </c>
      <c r="B15" s="15" t="n"/>
      <c r="C15" s="4" t="n"/>
      <c r="D15" s="4" t="n"/>
      <c r="E15" s="4" t="n"/>
      <c r="F15" s="16" t="n"/>
      <c r="G15" s="4" t="n"/>
      <c r="H15" s="4" t="n"/>
      <c r="I15" s="4" t="n"/>
      <c r="J15" s="4" t="n"/>
      <c r="L15" s="17" t="inlineStr">
        <is>
          <t>Savings 4 (balance)</t>
        </is>
      </c>
      <c r="M15" s="9">
        <f>IF(Setup!A16&lt;&gt;"",Setup!B16+(SUMIFS('April'!F5:F64,'April'!D5:D64,"Added to Savings",'April'!I5:I64,Setup!A16)+SUMIFS('May'!F5:F64,'May'!D5:D64,"Added to Savings",'May'!I5:I64,Setup!A16)+SUMIFS('June'!F5:F64,'June'!D5:D64,"Added to Savings",'June'!I5:I64,Setup!A16)+SUMIFS('July'!F5:F64,'July'!D5:D64,"Added to Savings",'July'!I5:I64,Setup!A16)+SUMIFS('August'!F5:F64,'August'!D5:D64,"Added to Savings",'August'!I5:I64,Setup!A16)+SUMIFS('September'!F5:F64,'September'!D5:D64,"Added to Savings",'September'!I5:I64,Setup!A16)+SUMIFS('October'!F5:F64,'October'!D5:D64,"Added to Savings",'October'!I5:I64,Setup!A16)+SUMIFS('November'!F5:F64,'November'!D5:D64,"Added to Savings",'November'!I5:I64,Setup!A16)+SUMIFS('December'!F5:F64,'December'!D5:D64,"Added to Savings",'December'!I5:I64,Setup!A16)+SUMIFS('January'!F5:F64,'January'!D5:D64,"Added to Savings",'January'!I5:I64,Setup!A16)+SUMIFS('February'!F5:F64,'February'!D5:D64,"Added to Savings",'February'!I5:I64,Setup!A16))-(SUMIFS('April'!F5:F64,'April'!G5:G64,Setup!A16)+SUMIFS('May'!F5:F64,'May'!G5:G64,Setup!A16)+SUMIFS('June'!F5:F64,'June'!G5:G64,Setup!A16)+SUMIFS('July'!F5:F64,'July'!G5:G64,Setup!A16)+SUMIFS('August'!F5:F64,'August'!G5:G64,Setup!A16)+SUMIFS('September'!F5:F64,'September'!G5:G64,Setup!A16)+SUMIFS('October'!F5:F64,'October'!G5:G64,Setup!A16)+SUMIFS('November'!F5:F64,'November'!G5:G64,Setup!A16)+SUMIFS('December'!F5:F64,'December'!G5:G64,Setup!A16)+SUMIFS('January'!F5:F64,'January'!G5:G64,Setup!A16)+SUMIFS('February'!F5:F64,'February'!G5:G64,Setup!A16)),"")</f>
        <v/>
      </c>
    </row>
    <row r="16" ht="22" customHeight="1">
      <c r="A16" s="18">
        <f>IF(F16&lt;&gt;"",ROW()-4,"")</f>
        <v/>
      </c>
      <c r="B16" s="15" t="n"/>
      <c r="C16" s="4" t="n"/>
      <c r="D16" s="4" t="n"/>
      <c r="E16" s="4" t="n"/>
      <c r="F16" s="16" t="n"/>
      <c r="G16" s="4" t="n"/>
      <c r="H16" s="4" t="n"/>
      <c r="I16" s="4" t="n"/>
      <c r="J16" s="4" t="n"/>
      <c r="L16" s="17" t="inlineStr">
        <is>
          <t>Savings 5 (this month)</t>
        </is>
      </c>
      <c r="M16" s="9">
        <f>IF(Setup!A17&lt;&gt;"",SUMIFS(F5:F255,D5:D255,"Added to Savings",I5:I255,Setup!A17)-SUMIFS(F5:F255,G5:G255,Setup!A17),"")</f>
        <v/>
      </c>
    </row>
    <row r="17" ht="22" customHeight="1">
      <c r="A17" s="14">
        <f>IF(F17&lt;&gt;"",ROW()-4,"")</f>
        <v/>
      </c>
      <c r="B17" s="15" t="n"/>
      <c r="C17" s="4" t="n"/>
      <c r="D17" s="4" t="n"/>
      <c r="E17" s="4" t="n"/>
      <c r="F17" s="16" t="n"/>
      <c r="G17" s="4" t="n"/>
      <c r="H17" s="4" t="n"/>
      <c r="I17" s="4" t="n"/>
      <c r="J17" s="4" t="n"/>
      <c r="L17" s="17" t="inlineStr">
        <is>
          <t>Savings 5 (balance)</t>
        </is>
      </c>
      <c r="M17" s="9">
        <f>IF(Setup!A17&lt;&gt;"",Setup!B17+(SUMIFS('April'!F5:F64,'April'!D5:D64,"Added to Savings",'April'!I5:I64,Setup!A17)+SUMIFS('May'!F5:F64,'May'!D5:D64,"Added to Savings",'May'!I5:I64,Setup!A17)+SUMIFS('June'!F5:F64,'June'!D5:D64,"Added to Savings",'June'!I5:I64,Setup!A17)+SUMIFS('July'!F5:F64,'July'!D5:D64,"Added to Savings",'July'!I5:I64,Setup!A17)+SUMIFS('August'!F5:F64,'August'!D5:D64,"Added to Savings",'August'!I5:I64,Setup!A17)+SUMIFS('September'!F5:F64,'September'!D5:D64,"Added to Savings",'September'!I5:I64,Setup!A17)+SUMIFS('October'!F5:F64,'October'!D5:D64,"Added to Savings",'October'!I5:I64,Setup!A17)+SUMIFS('November'!F5:F64,'November'!D5:D64,"Added to Savings",'November'!I5:I64,Setup!A17)+SUMIFS('December'!F5:F64,'December'!D5:D64,"Added to Savings",'December'!I5:I64,Setup!A17)+SUMIFS('January'!F5:F64,'January'!D5:D64,"Added to Savings",'January'!I5:I64,Setup!A17)+SUMIFS('February'!F5:F64,'February'!D5:D64,"Added to Savings",'February'!I5:I64,Setup!A17))-(SUMIFS('April'!F5:F64,'April'!G5:G64,Setup!A17)+SUMIFS('May'!F5:F64,'May'!G5:G64,Setup!A17)+SUMIFS('June'!F5:F64,'June'!G5:G64,Setup!A17)+SUMIFS('July'!F5:F64,'July'!G5:G64,Setup!A17)+SUMIFS('August'!F5:F64,'August'!G5:G64,Setup!A17)+SUMIFS('September'!F5:F64,'September'!G5:G64,Setup!A17)+SUMIFS('October'!F5:F64,'October'!G5:G64,Setup!A17)+SUMIFS('November'!F5:F64,'November'!G5:G64,Setup!A17)+SUMIFS('December'!F5:F64,'December'!G5:G64,Setup!A17)+SUMIFS('January'!F5:F64,'January'!G5:G64,Setup!A17)+SUMIFS('February'!F5:F64,'February'!G5:G64,Setup!A17)),"")</f>
        <v/>
      </c>
    </row>
    <row r="18" ht="22" customHeight="1">
      <c r="A18" s="18">
        <f>IF(F18&lt;&gt;"",ROW()-4,"")</f>
        <v/>
      </c>
      <c r="B18" s="15" t="n"/>
      <c r="C18" s="4" t="n"/>
      <c r="D18" s="4" t="n"/>
      <c r="E18" s="4" t="n"/>
      <c r="F18" s="16" t="n"/>
      <c r="G18" s="4" t="n"/>
      <c r="H18" s="4" t="n"/>
      <c r="I18" s="4" t="n"/>
      <c r="J18" s="4" t="n"/>
      <c r="L18" s="17" t="inlineStr">
        <is>
          <t>Fixed Bills Paid</t>
        </is>
      </c>
      <c r="M18" s="9">
        <f>SUMIF(D5:D255,"Fixed Bills",F5:F255)</f>
        <v/>
      </c>
    </row>
    <row r="19" ht="22" customHeight="1">
      <c r="A19" s="14">
        <f>IF(F19&lt;&gt;"",ROW()-4,"")</f>
        <v/>
      </c>
      <c r="B19" s="15" t="n"/>
      <c r="C19" s="4" t="n"/>
      <c r="D19" s="4" t="n"/>
      <c r="E19" s="4" t="n"/>
      <c r="F19" s="16" t="n"/>
      <c r="G19" s="4" t="n"/>
      <c r="H19" s="4" t="n"/>
      <c r="I19" s="4" t="n"/>
      <c r="J19" s="4" t="n"/>
      <c r="L19" s="17" t="inlineStr">
        <is>
          <t>Food &amp; Dining</t>
        </is>
      </c>
      <c r="M19" s="9">
        <f>SUMIF(D5:D255,"Food &amp; Dining",F5:F255)</f>
        <v/>
      </c>
    </row>
    <row r="20" ht="22" customHeight="1">
      <c r="A20" s="18">
        <f>IF(F20&lt;&gt;"",ROW()-4,"")</f>
        <v/>
      </c>
      <c r="B20" s="15" t="n"/>
      <c r="C20" s="4" t="n"/>
      <c r="D20" s="4" t="n"/>
      <c r="E20" s="4" t="n"/>
      <c r="F20" s="16" t="n"/>
      <c r="G20" s="4" t="n"/>
      <c r="H20" s="4" t="n"/>
      <c r="I20" s="4" t="n"/>
      <c r="J20" s="4" t="n"/>
      <c r="L20" s="17" t="inlineStr">
        <is>
          <t>Transport</t>
        </is>
      </c>
      <c r="M20" s="9">
        <f>SUMIF(D5:D255,"Transport &amp; Fuel",F5:F255)</f>
        <v/>
      </c>
    </row>
    <row r="21" ht="22" customHeight="1">
      <c r="A21" s="14">
        <f>IF(F21&lt;&gt;"",ROW()-4,"")</f>
        <v/>
      </c>
      <c r="B21" s="15" t="n"/>
      <c r="C21" s="4" t="n"/>
      <c r="D21" s="4" t="n"/>
      <c r="E21" s="4" t="n"/>
      <c r="F21" s="16" t="n"/>
      <c r="G21" s="4" t="n"/>
      <c r="H21" s="4" t="n"/>
      <c r="I21" s="4" t="n"/>
      <c r="J21" s="4" t="n"/>
      <c r="L21" s="17" t="inlineStr">
        <is>
          <t>Groceries</t>
        </is>
      </c>
      <c r="M21" s="9">
        <f>SUMIF(D5:D255,"Groceries",F5:F255)</f>
        <v/>
      </c>
    </row>
    <row r="22" ht="22" customHeight="1">
      <c r="A22" s="18">
        <f>IF(F22&lt;&gt;"",ROW()-4,"")</f>
        <v/>
      </c>
      <c r="B22" s="15" t="n"/>
      <c r="C22" s="4" t="n"/>
      <c r="D22" s="4" t="n"/>
      <c r="E22" s="4" t="n"/>
      <c r="F22" s="16" t="n"/>
      <c r="G22" s="4" t="n"/>
      <c r="H22" s="4" t="n"/>
      <c r="I22" s="4" t="n"/>
      <c r="J22" s="4" t="n"/>
      <c r="L22" s="17" t="inlineStr">
        <is>
          <t>Shopping</t>
        </is>
      </c>
      <c r="M22" s="9">
        <f>SUMIF(D5:D255,"Shopping &amp; Clothing",F5:F255)</f>
        <v/>
      </c>
    </row>
    <row r="23" ht="22" customHeight="1">
      <c r="A23" s="14">
        <f>IF(F23&lt;&gt;"",ROW()-4,"")</f>
        <v/>
      </c>
      <c r="B23" s="15" t="n"/>
      <c r="C23" s="4" t="n"/>
      <c r="D23" s="4" t="n"/>
      <c r="E23" s="4" t="n"/>
      <c r="F23" s="16" t="n"/>
      <c r="G23" s="4" t="n"/>
      <c r="H23" s="4" t="n"/>
      <c r="I23" s="4" t="n"/>
      <c r="J23" s="4" t="n"/>
      <c r="L23" s="17" t="inlineStr">
        <is>
          <t>Entertainment</t>
        </is>
      </c>
      <c r="M23" s="9">
        <f>SUMIF(D5:D255,"Entertainment &amp; OTT",F5:F255)</f>
        <v/>
      </c>
    </row>
    <row r="24" ht="22" customHeight="1">
      <c r="A24" s="18">
        <f>IF(F24&lt;&gt;"",ROW()-4,"")</f>
        <v/>
      </c>
      <c r="B24" s="15" t="n"/>
      <c r="C24" s="4" t="n"/>
      <c r="D24" s="4" t="n"/>
      <c r="E24" s="4" t="n"/>
      <c r="F24" s="16" t="n"/>
      <c r="G24" s="4" t="n"/>
      <c r="H24" s="4" t="n"/>
      <c r="I24" s="4" t="n"/>
      <c r="J24" s="4" t="n"/>
      <c r="L24" s="17" t="inlineStr">
        <is>
          <t>Investment</t>
        </is>
      </c>
      <c r="M24" s="9">
        <f>SUMIF(D5:D255,"Investment",F5:F255)</f>
        <v/>
      </c>
    </row>
    <row r="25" ht="22" customHeight="1">
      <c r="A25" s="14">
        <f>IF(F25&lt;&gt;"",ROW()-4,"")</f>
        <v/>
      </c>
      <c r="B25" s="15" t="n"/>
      <c r="C25" s="4" t="n"/>
      <c r="D25" s="4" t="n"/>
      <c r="E25" s="4" t="n"/>
      <c r="F25" s="16" t="n"/>
      <c r="G25" s="4" t="n"/>
      <c r="H25" s="4" t="n"/>
      <c r="I25" s="4" t="n"/>
      <c r="J25" s="4" t="n"/>
      <c r="L25" s="17" t="inlineStr">
        <is>
          <t>Added to Savings</t>
        </is>
      </c>
      <c r="M25" s="9">
        <f>SUMIF(D5:D255,"Added to Savings",F5:F255)</f>
        <v/>
      </c>
    </row>
    <row r="26" ht="22" customHeight="1">
      <c r="A26" s="18">
        <f>IF(F26&lt;&gt;"",ROW()-4,"")</f>
        <v/>
      </c>
      <c r="B26" s="15" t="n"/>
      <c r="C26" s="4" t="n"/>
      <c r="D26" s="4" t="n"/>
      <c r="E26" s="4" t="n"/>
      <c r="F26" s="16" t="n"/>
      <c r="G26" s="4" t="n"/>
      <c r="H26" s="4" t="n"/>
      <c r="I26" s="4" t="n"/>
      <c r="J26" s="4" t="n"/>
      <c r="L26" s="17" t="inlineStr">
        <is>
          <t>CC Payments</t>
        </is>
      </c>
      <c r="M26" s="9">
        <f>SUMIF(D5:D255,"Credit Card Payment",F5:F255)</f>
        <v/>
      </c>
    </row>
    <row r="27" ht="22" customHeight="1">
      <c r="A27" s="14">
        <f>IF(F27&lt;&gt;"",ROW()-4,"")</f>
        <v/>
      </c>
      <c r="B27" s="15" t="n"/>
      <c r="C27" s="4" t="n"/>
      <c r="D27" s="4" t="n"/>
      <c r="E27" s="4" t="n"/>
      <c r="F27" s="16" t="n"/>
      <c r="G27" s="4" t="n"/>
      <c r="H27" s="4" t="n"/>
      <c r="I27" s="4" t="n"/>
      <c r="J27" s="4" t="n"/>
      <c r="L27" s="17" t="inlineStr">
        <is>
          <t>Miscellaneous</t>
        </is>
      </c>
      <c r="M27" s="9">
        <f>SUMIF(D5:D255,"Miscellaneous",F5:F255)</f>
        <v/>
      </c>
    </row>
    <row r="28">
      <c r="A28" s="18">
        <f>IF(F28&lt;&gt;"",ROW()-4,"")</f>
        <v/>
      </c>
      <c r="B28" s="15" t="n"/>
      <c r="C28" s="4" t="n"/>
      <c r="D28" s="4" t="n"/>
      <c r="E28" s="4" t="n"/>
      <c r="F28" s="16" t="n"/>
      <c r="G28" s="4" t="n"/>
      <c r="H28" s="4" t="n"/>
      <c r="I28" s="4" t="n"/>
      <c r="J28" s="4" t="n"/>
    </row>
    <row r="29">
      <c r="A29" s="14">
        <f>IF(F29&lt;&gt;"",ROW()-4,"")</f>
        <v/>
      </c>
      <c r="B29" s="15" t="n"/>
      <c r="C29" s="4" t="n"/>
      <c r="D29" s="4" t="n"/>
      <c r="E29" s="4" t="n"/>
      <c r="F29" s="16" t="n"/>
      <c r="G29" s="4" t="n"/>
      <c r="H29" s="4" t="n"/>
      <c r="I29" s="4" t="n"/>
      <c r="J29" s="4" t="n"/>
    </row>
    <row r="30">
      <c r="A30" s="18">
        <f>IF(F30&lt;&gt;"",ROW()-4,"")</f>
        <v/>
      </c>
      <c r="B30" s="15" t="n"/>
      <c r="C30" s="4" t="n"/>
      <c r="D30" s="4" t="n"/>
      <c r="E30" s="4" t="n"/>
      <c r="F30" s="16" t="n"/>
      <c r="G30" s="4" t="n"/>
      <c r="H30" s="4" t="n"/>
      <c r="I30" s="4" t="n"/>
      <c r="J30" s="4" t="n"/>
    </row>
    <row r="31">
      <c r="A31" s="14">
        <f>IF(F31&lt;&gt;"",ROW()-4,"")</f>
        <v/>
      </c>
      <c r="B31" s="15" t="n"/>
      <c r="C31" s="4" t="n"/>
      <c r="D31" s="4" t="n"/>
      <c r="E31" s="4" t="n"/>
      <c r="F31" s="16" t="n"/>
      <c r="G31" s="4" t="n"/>
      <c r="H31" s="4" t="n"/>
      <c r="I31" s="4" t="n"/>
      <c r="J31" s="4" t="n"/>
    </row>
    <row r="32">
      <c r="A32" s="18">
        <f>IF(F32&lt;&gt;"",ROW()-4,"")</f>
        <v/>
      </c>
      <c r="B32" s="15" t="n"/>
      <c r="C32" s="4" t="n"/>
      <c r="D32" s="4" t="n"/>
      <c r="E32" s="4" t="n"/>
      <c r="F32" s="16" t="n"/>
      <c r="G32" s="4" t="n"/>
      <c r="H32" s="4" t="n"/>
      <c r="I32" s="4" t="n"/>
      <c r="J32" s="4" t="n"/>
    </row>
    <row r="33">
      <c r="A33" s="14">
        <f>IF(F33&lt;&gt;"",ROW()-4,"")</f>
        <v/>
      </c>
      <c r="B33" s="15" t="n"/>
      <c r="C33" s="4" t="n"/>
      <c r="D33" s="4" t="n"/>
      <c r="E33" s="4" t="n"/>
      <c r="F33" s="16" t="n"/>
      <c r="G33" s="4" t="n"/>
      <c r="H33" s="4" t="n"/>
      <c r="I33" s="4" t="n"/>
      <c r="J33" s="4" t="n"/>
    </row>
    <row r="34">
      <c r="A34" s="18">
        <f>IF(F34&lt;&gt;"",ROW()-4,"")</f>
        <v/>
      </c>
      <c r="B34" s="15" t="n"/>
      <c r="C34" s="4" t="n"/>
      <c r="D34" s="4" t="n"/>
      <c r="E34" s="4" t="n"/>
      <c r="F34" s="16" t="n"/>
      <c r="G34" s="4" t="n"/>
      <c r="H34" s="4" t="n"/>
      <c r="I34" s="4" t="n"/>
      <c r="J34" s="4" t="n"/>
    </row>
    <row r="35">
      <c r="A35" s="14">
        <f>IF(F35&lt;&gt;"",ROW()-4,"")</f>
        <v/>
      </c>
      <c r="B35" s="15" t="n"/>
      <c r="C35" s="4" t="n"/>
      <c r="D35" s="4" t="n"/>
      <c r="E35" s="4" t="n"/>
      <c r="F35" s="16" t="n"/>
      <c r="G35" s="4" t="n"/>
      <c r="H35" s="4" t="n"/>
      <c r="I35" s="4" t="n"/>
      <c r="J35" s="4" t="n"/>
    </row>
    <row r="36">
      <c r="A36" s="18">
        <f>IF(F36&lt;&gt;"",ROW()-4,"")</f>
        <v/>
      </c>
      <c r="B36" s="15" t="n"/>
      <c r="C36" s="4" t="n"/>
      <c r="D36" s="4" t="n"/>
      <c r="E36" s="4" t="n"/>
      <c r="F36" s="16" t="n"/>
      <c r="G36" s="4" t="n"/>
      <c r="H36" s="4" t="n"/>
      <c r="I36" s="4" t="n"/>
      <c r="J36" s="4" t="n"/>
    </row>
    <row r="37">
      <c r="A37" s="14">
        <f>IF(F37&lt;&gt;"",ROW()-4,"")</f>
        <v/>
      </c>
      <c r="B37" s="15" t="n"/>
      <c r="C37" s="4" t="n"/>
      <c r="D37" s="4" t="n"/>
      <c r="E37" s="4" t="n"/>
      <c r="F37" s="16" t="n"/>
      <c r="G37" s="4" t="n"/>
      <c r="H37" s="4" t="n"/>
      <c r="I37" s="4" t="n"/>
      <c r="J37" s="4" t="n"/>
    </row>
    <row r="38">
      <c r="A38" s="18">
        <f>IF(F38&lt;&gt;"",ROW()-4,"")</f>
        <v/>
      </c>
      <c r="B38" s="15" t="n"/>
      <c r="C38" s="4" t="n"/>
      <c r="D38" s="4" t="n"/>
      <c r="E38" s="4" t="n"/>
      <c r="F38" s="16" t="n"/>
      <c r="G38" s="4" t="n"/>
      <c r="H38" s="4" t="n"/>
      <c r="I38" s="4" t="n"/>
      <c r="J38" s="4" t="n"/>
    </row>
    <row r="39">
      <c r="A39" s="14">
        <f>IF(F39&lt;&gt;"",ROW()-4,"")</f>
        <v/>
      </c>
      <c r="B39" s="15" t="n"/>
      <c r="C39" s="4" t="n"/>
      <c r="D39" s="4" t="n"/>
      <c r="E39" s="4" t="n"/>
      <c r="F39" s="16" t="n"/>
      <c r="G39" s="4" t="n"/>
      <c r="H39" s="4" t="n"/>
      <c r="I39" s="4" t="n"/>
      <c r="J39" s="4" t="n"/>
    </row>
    <row r="40">
      <c r="A40" s="18">
        <f>IF(F40&lt;&gt;"",ROW()-4,"")</f>
        <v/>
      </c>
      <c r="B40" s="15" t="n"/>
      <c r="C40" s="4" t="n"/>
      <c r="D40" s="4" t="n"/>
      <c r="E40" s="4" t="n"/>
      <c r="F40" s="16" t="n"/>
      <c r="G40" s="4" t="n"/>
      <c r="H40" s="4" t="n"/>
      <c r="I40" s="4" t="n"/>
      <c r="J40" s="4" t="n"/>
    </row>
    <row r="41">
      <c r="A41" s="14">
        <f>IF(F41&lt;&gt;"",ROW()-4,"")</f>
        <v/>
      </c>
      <c r="B41" s="15" t="n"/>
      <c r="C41" s="4" t="n"/>
      <c r="D41" s="4" t="n"/>
      <c r="E41" s="4" t="n"/>
      <c r="F41" s="16" t="n"/>
      <c r="G41" s="4" t="n"/>
      <c r="H41" s="4" t="n"/>
      <c r="I41" s="4" t="n"/>
      <c r="J41" s="4" t="n"/>
    </row>
    <row r="42">
      <c r="A42" s="18">
        <f>IF(F42&lt;&gt;"",ROW()-4,"")</f>
        <v/>
      </c>
      <c r="B42" s="15" t="n"/>
      <c r="C42" s="4" t="n"/>
      <c r="D42" s="4" t="n"/>
      <c r="E42" s="4" t="n"/>
      <c r="F42" s="16" t="n"/>
      <c r="G42" s="4" t="n"/>
      <c r="H42" s="4" t="n"/>
      <c r="I42" s="4" t="n"/>
      <c r="J42" s="4" t="n"/>
    </row>
    <row r="43">
      <c r="A43" s="14">
        <f>IF(F43&lt;&gt;"",ROW()-4,"")</f>
        <v/>
      </c>
      <c r="B43" s="15" t="n"/>
      <c r="C43" s="4" t="n"/>
      <c r="D43" s="4" t="n"/>
      <c r="E43" s="4" t="n"/>
      <c r="F43" s="16" t="n"/>
      <c r="G43" s="4" t="n"/>
      <c r="H43" s="4" t="n"/>
      <c r="I43" s="4" t="n"/>
      <c r="J43" s="4" t="n"/>
    </row>
    <row r="44">
      <c r="A44" s="18">
        <f>IF(F44&lt;&gt;"",ROW()-4,"")</f>
        <v/>
      </c>
      <c r="B44" s="15" t="n"/>
      <c r="C44" s="4" t="n"/>
      <c r="D44" s="4" t="n"/>
      <c r="E44" s="4" t="n"/>
      <c r="F44" s="16" t="n"/>
      <c r="G44" s="4" t="n"/>
      <c r="H44" s="4" t="n"/>
      <c r="I44" s="4" t="n"/>
      <c r="J44" s="4" t="n"/>
    </row>
    <row r="45">
      <c r="A45" s="14">
        <f>IF(F45&lt;&gt;"",ROW()-4,"")</f>
        <v/>
      </c>
      <c r="B45" s="15" t="n"/>
      <c r="C45" s="4" t="n"/>
      <c r="D45" s="4" t="n"/>
      <c r="E45" s="4" t="n"/>
      <c r="F45" s="16" t="n"/>
      <c r="G45" s="4" t="n"/>
      <c r="H45" s="4" t="n"/>
      <c r="I45" s="4" t="n"/>
      <c r="J45" s="4" t="n"/>
    </row>
    <row r="46">
      <c r="A46" s="18">
        <f>IF(F46&lt;&gt;"",ROW()-4,"")</f>
        <v/>
      </c>
      <c r="B46" s="15" t="n"/>
      <c r="C46" s="4" t="n"/>
      <c r="D46" s="4" t="n"/>
      <c r="E46" s="4" t="n"/>
      <c r="F46" s="16" t="n"/>
      <c r="G46" s="4" t="n"/>
      <c r="H46" s="4" t="n"/>
      <c r="I46" s="4" t="n"/>
      <c r="J46" s="4" t="n"/>
    </row>
    <row r="47">
      <c r="A47" s="14">
        <f>IF(F47&lt;&gt;"",ROW()-4,"")</f>
        <v/>
      </c>
      <c r="B47" s="15" t="n"/>
      <c r="C47" s="4" t="n"/>
      <c r="D47" s="4" t="n"/>
      <c r="E47" s="4" t="n"/>
      <c r="F47" s="16" t="n"/>
      <c r="G47" s="4" t="n"/>
      <c r="H47" s="4" t="n"/>
      <c r="I47" s="4" t="n"/>
      <c r="J47" s="4" t="n"/>
    </row>
    <row r="48">
      <c r="A48" s="18">
        <f>IF(F48&lt;&gt;"",ROW()-4,"")</f>
        <v/>
      </c>
      <c r="B48" s="15" t="n"/>
      <c r="C48" s="4" t="n"/>
      <c r="D48" s="4" t="n"/>
      <c r="E48" s="4" t="n"/>
      <c r="F48" s="16" t="n"/>
      <c r="G48" s="4" t="n"/>
      <c r="H48" s="4" t="n"/>
      <c r="I48" s="4" t="n"/>
      <c r="J48" s="4" t="n"/>
    </row>
    <row r="49">
      <c r="A49" s="14">
        <f>IF(F49&lt;&gt;"",ROW()-4,"")</f>
        <v/>
      </c>
      <c r="B49" s="15" t="n"/>
      <c r="C49" s="4" t="n"/>
      <c r="D49" s="4" t="n"/>
      <c r="E49" s="4" t="n"/>
      <c r="F49" s="16" t="n"/>
      <c r="G49" s="4" t="n"/>
      <c r="H49" s="4" t="n"/>
      <c r="I49" s="4" t="n"/>
      <c r="J49" s="4" t="n"/>
    </row>
    <row r="50">
      <c r="A50" s="18">
        <f>IF(F50&lt;&gt;"",ROW()-4,"")</f>
        <v/>
      </c>
      <c r="B50" s="15" t="n"/>
      <c r="C50" s="4" t="n"/>
      <c r="D50" s="4" t="n"/>
      <c r="E50" s="4" t="n"/>
      <c r="F50" s="16" t="n"/>
      <c r="G50" s="4" t="n"/>
      <c r="H50" s="4" t="n"/>
      <c r="I50" s="4" t="n"/>
      <c r="J50" s="4" t="n"/>
    </row>
    <row r="51">
      <c r="A51" s="14">
        <f>IF(F51&lt;&gt;"",ROW()-4,"")</f>
        <v/>
      </c>
      <c r="B51" s="15" t="n"/>
      <c r="C51" s="4" t="n"/>
      <c r="D51" s="4" t="n"/>
      <c r="E51" s="4" t="n"/>
      <c r="F51" s="16" t="n"/>
      <c r="G51" s="4" t="n"/>
      <c r="H51" s="4" t="n"/>
      <c r="I51" s="4" t="n"/>
      <c r="J51" s="4" t="n"/>
    </row>
    <row r="52">
      <c r="A52" s="18">
        <f>IF(F52&lt;&gt;"",ROW()-4,"")</f>
        <v/>
      </c>
      <c r="B52" s="15" t="n"/>
      <c r="C52" s="4" t="n"/>
      <c r="D52" s="4" t="n"/>
      <c r="E52" s="4" t="n"/>
      <c r="F52" s="16" t="n"/>
      <c r="G52" s="4" t="n"/>
      <c r="H52" s="4" t="n"/>
      <c r="I52" s="4" t="n"/>
      <c r="J52" s="4" t="n"/>
    </row>
    <row r="53">
      <c r="A53" s="14">
        <f>IF(F53&lt;&gt;"",ROW()-4,"")</f>
        <v/>
      </c>
      <c r="B53" s="15" t="n"/>
      <c r="C53" s="4" t="n"/>
      <c r="D53" s="4" t="n"/>
      <c r="E53" s="4" t="n"/>
      <c r="F53" s="16" t="n"/>
      <c r="G53" s="4" t="n"/>
      <c r="H53" s="4" t="n"/>
      <c r="I53" s="4" t="n"/>
      <c r="J53" s="4" t="n"/>
    </row>
    <row r="54">
      <c r="A54" s="18">
        <f>IF(F54&lt;&gt;"",ROW()-4,"")</f>
        <v/>
      </c>
      <c r="B54" s="15" t="n"/>
      <c r="C54" s="4" t="n"/>
      <c r="D54" s="4" t="n"/>
      <c r="E54" s="4" t="n"/>
      <c r="F54" s="16" t="n"/>
      <c r="G54" s="4" t="n"/>
      <c r="H54" s="4" t="n"/>
      <c r="I54" s="4" t="n"/>
      <c r="J54" s="4" t="n"/>
    </row>
    <row r="55">
      <c r="A55" s="14">
        <f>IF(F55&lt;&gt;"",ROW()-4,"")</f>
        <v/>
      </c>
      <c r="B55" s="15" t="n"/>
      <c r="C55" s="4" t="n"/>
      <c r="D55" s="4" t="n"/>
      <c r="E55" s="4" t="n"/>
      <c r="F55" s="16" t="n"/>
      <c r="G55" s="4" t="n"/>
      <c r="H55" s="4" t="n"/>
      <c r="I55" s="4" t="n"/>
      <c r="J55" s="4" t="n"/>
    </row>
    <row r="56">
      <c r="A56" s="18">
        <f>IF(F56&lt;&gt;"",ROW()-4,"")</f>
        <v/>
      </c>
      <c r="B56" s="15" t="n"/>
      <c r="C56" s="4" t="n"/>
      <c r="D56" s="4" t="n"/>
      <c r="E56" s="4" t="n"/>
      <c r="F56" s="16" t="n"/>
      <c r="G56" s="4" t="n"/>
      <c r="H56" s="4" t="n"/>
      <c r="I56" s="4" t="n"/>
      <c r="J56" s="4" t="n"/>
    </row>
    <row r="57">
      <c r="A57" s="14">
        <f>IF(F57&lt;&gt;"",ROW()-4,"")</f>
        <v/>
      </c>
      <c r="B57" s="15" t="n"/>
      <c r="C57" s="4" t="n"/>
      <c r="D57" s="4" t="n"/>
      <c r="E57" s="4" t="n"/>
      <c r="F57" s="16" t="n"/>
      <c r="G57" s="4" t="n"/>
      <c r="H57" s="4" t="n"/>
      <c r="I57" s="4" t="n"/>
      <c r="J57" s="4" t="n"/>
    </row>
    <row r="58">
      <c r="A58" s="18">
        <f>IF(F58&lt;&gt;"",ROW()-4,"")</f>
        <v/>
      </c>
      <c r="B58" s="15" t="n"/>
      <c r="C58" s="4" t="n"/>
      <c r="D58" s="4" t="n"/>
      <c r="E58" s="4" t="n"/>
      <c r="F58" s="16" t="n"/>
      <c r="G58" s="4" t="n"/>
      <c r="H58" s="4" t="n"/>
      <c r="I58" s="4" t="n"/>
      <c r="J58" s="4" t="n"/>
    </row>
    <row r="59">
      <c r="A59" s="14">
        <f>IF(F59&lt;&gt;"",ROW()-4,"")</f>
        <v/>
      </c>
      <c r="B59" s="15" t="n"/>
      <c r="C59" s="4" t="n"/>
      <c r="D59" s="4" t="n"/>
      <c r="E59" s="4" t="n"/>
      <c r="F59" s="16" t="n"/>
      <c r="G59" s="4" t="n"/>
      <c r="H59" s="4" t="n"/>
      <c r="I59" s="4" t="n"/>
      <c r="J59" s="4" t="n"/>
    </row>
    <row r="60">
      <c r="A60" s="18">
        <f>IF(F60&lt;&gt;"",ROW()-4,"")</f>
        <v/>
      </c>
      <c r="B60" s="15" t="n"/>
      <c r="C60" s="4" t="n"/>
      <c r="D60" s="4" t="n"/>
      <c r="E60" s="4" t="n"/>
      <c r="F60" s="16" t="n"/>
      <c r="G60" s="4" t="n"/>
      <c r="H60" s="4" t="n"/>
      <c r="I60" s="4" t="n"/>
      <c r="J60" s="4" t="n"/>
    </row>
    <row r="61">
      <c r="A61" s="14">
        <f>IF(F61&lt;&gt;"",ROW()-4,"")</f>
        <v/>
      </c>
      <c r="B61" s="15" t="n"/>
      <c r="C61" s="4" t="n"/>
      <c r="D61" s="4" t="n"/>
      <c r="E61" s="4" t="n"/>
      <c r="F61" s="16" t="n"/>
      <c r="G61" s="4" t="n"/>
      <c r="H61" s="4" t="n"/>
      <c r="I61" s="4" t="n"/>
      <c r="J61" s="4" t="n"/>
    </row>
    <row r="62">
      <c r="A62" s="18">
        <f>IF(F62&lt;&gt;"",ROW()-4,"")</f>
        <v/>
      </c>
      <c r="B62" s="15" t="n"/>
      <c r="C62" s="4" t="n"/>
      <c r="D62" s="4" t="n"/>
      <c r="E62" s="4" t="n"/>
      <c r="F62" s="16" t="n"/>
      <c r="G62" s="4" t="n"/>
      <c r="H62" s="4" t="n"/>
      <c r="I62" s="4" t="n"/>
      <c r="J62" s="4" t="n"/>
    </row>
    <row r="63">
      <c r="A63" s="14">
        <f>IF(F63&lt;&gt;"",ROW()-4,"")</f>
        <v/>
      </c>
      <c r="B63" s="15" t="n"/>
      <c r="C63" s="4" t="n"/>
      <c r="D63" s="4" t="n"/>
      <c r="E63" s="4" t="n"/>
      <c r="F63" s="16" t="n"/>
      <c r="G63" s="4" t="n"/>
      <c r="H63" s="4" t="n"/>
      <c r="I63" s="4" t="n"/>
      <c r="J63" s="4" t="n"/>
    </row>
    <row r="64">
      <c r="A64" s="18">
        <f>IF(F64&lt;&gt;"",ROW()-4,"")</f>
        <v/>
      </c>
      <c r="B64" s="15" t="n"/>
      <c r="C64" s="4" t="n"/>
      <c r="D64" s="4" t="n"/>
      <c r="E64" s="4" t="n"/>
      <c r="F64" s="16" t="n"/>
      <c r="G64" s="4" t="n"/>
      <c r="H64" s="4" t="n"/>
      <c r="I64" s="4" t="n"/>
      <c r="J64" s="4" t="n"/>
    </row>
    <row r="65">
      <c r="A65" s="14">
        <f>IF(F65&lt;&gt;"",ROW()-4,"")</f>
        <v/>
      </c>
      <c r="B65" s="15" t="n"/>
      <c r="C65" s="4" t="n"/>
      <c r="D65" s="4" t="n"/>
      <c r="E65" s="4" t="n"/>
      <c r="F65" s="16" t="n"/>
      <c r="G65" s="4" t="n"/>
      <c r="H65" s="4" t="n"/>
      <c r="I65" s="4" t="n"/>
      <c r="J65" s="4" t="n"/>
    </row>
    <row r="66">
      <c r="A66" s="18">
        <f>IF(F66&lt;&gt;"",ROW()-4,"")</f>
        <v/>
      </c>
      <c r="B66" s="15" t="n"/>
      <c r="C66" s="4" t="n"/>
      <c r="D66" s="4" t="n"/>
      <c r="E66" s="4" t="n"/>
      <c r="F66" s="16" t="n"/>
      <c r="G66" s="4" t="n"/>
      <c r="H66" s="4" t="n"/>
      <c r="I66" s="4" t="n"/>
      <c r="J66" s="4" t="n"/>
    </row>
    <row r="67">
      <c r="A67" s="14">
        <f>IF(F67&lt;&gt;"",ROW()-4,"")</f>
        <v/>
      </c>
      <c r="B67" s="15" t="n"/>
      <c r="C67" s="4" t="n"/>
      <c r="D67" s="4" t="n"/>
      <c r="E67" s="4" t="n"/>
      <c r="F67" s="16" t="n"/>
      <c r="G67" s="4" t="n"/>
      <c r="H67" s="4" t="n"/>
      <c r="I67" s="4" t="n"/>
      <c r="J67" s="4" t="n"/>
    </row>
    <row r="68">
      <c r="A68" s="18">
        <f>IF(F68&lt;&gt;"",ROW()-4,"")</f>
        <v/>
      </c>
      <c r="B68" s="15" t="n"/>
      <c r="C68" s="4" t="n"/>
      <c r="D68" s="4" t="n"/>
      <c r="E68" s="4" t="n"/>
      <c r="F68" s="16" t="n"/>
      <c r="G68" s="4" t="n"/>
      <c r="H68" s="4" t="n"/>
      <c r="I68" s="4" t="n"/>
      <c r="J68" s="4" t="n"/>
    </row>
    <row r="69">
      <c r="A69" s="14">
        <f>IF(F69&lt;&gt;"",ROW()-4,"")</f>
        <v/>
      </c>
      <c r="B69" s="15" t="n"/>
      <c r="C69" s="4" t="n"/>
      <c r="D69" s="4" t="n"/>
      <c r="E69" s="4" t="n"/>
      <c r="F69" s="16" t="n"/>
      <c r="G69" s="4" t="n"/>
      <c r="H69" s="4" t="n"/>
      <c r="I69" s="4" t="n"/>
      <c r="J69" s="4" t="n"/>
    </row>
    <row r="70">
      <c r="A70" s="18">
        <f>IF(F70&lt;&gt;"",ROW()-4,"")</f>
        <v/>
      </c>
      <c r="B70" s="15" t="n"/>
      <c r="C70" s="4" t="n"/>
      <c r="D70" s="4" t="n"/>
      <c r="E70" s="4" t="n"/>
      <c r="F70" s="16" t="n"/>
      <c r="G70" s="4" t="n"/>
      <c r="H70" s="4" t="n"/>
      <c r="I70" s="4" t="n"/>
      <c r="J70" s="4" t="n"/>
    </row>
    <row r="71">
      <c r="A71" s="14">
        <f>IF(F71&lt;&gt;"",ROW()-4,"")</f>
        <v/>
      </c>
      <c r="B71" s="15" t="n"/>
      <c r="C71" s="4" t="n"/>
      <c r="D71" s="4" t="n"/>
      <c r="E71" s="4" t="n"/>
      <c r="F71" s="16" t="n"/>
      <c r="G71" s="4" t="n"/>
      <c r="H71" s="4" t="n"/>
      <c r="I71" s="4" t="n"/>
      <c r="J71" s="4" t="n"/>
    </row>
    <row r="72">
      <c r="A72" s="18">
        <f>IF(F72&lt;&gt;"",ROW()-4,"")</f>
        <v/>
      </c>
      <c r="B72" s="15" t="n"/>
      <c r="C72" s="4" t="n"/>
      <c r="D72" s="4" t="n"/>
      <c r="E72" s="4" t="n"/>
      <c r="F72" s="16" t="n"/>
      <c r="G72" s="4" t="n"/>
      <c r="H72" s="4" t="n"/>
      <c r="I72" s="4" t="n"/>
      <c r="J72" s="4" t="n"/>
    </row>
    <row r="73">
      <c r="A73" s="14">
        <f>IF(F73&lt;&gt;"",ROW()-4,"")</f>
        <v/>
      </c>
      <c r="B73" s="15" t="n"/>
      <c r="C73" s="4" t="n"/>
      <c r="D73" s="4" t="n"/>
      <c r="E73" s="4" t="n"/>
      <c r="F73" s="16" t="n"/>
      <c r="G73" s="4" t="n"/>
      <c r="H73" s="4" t="n"/>
      <c r="I73" s="4" t="n"/>
      <c r="J73" s="4" t="n"/>
    </row>
    <row r="74">
      <c r="A74" s="18">
        <f>IF(F74&lt;&gt;"",ROW()-4,"")</f>
        <v/>
      </c>
      <c r="B74" s="15" t="n"/>
      <c r="C74" s="4" t="n"/>
      <c r="D74" s="4" t="n"/>
      <c r="E74" s="4" t="n"/>
      <c r="F74" s="16" t="n"/>
      <c r="G74" s="4" t="n"/>
      <c r="H74" s="4" t="n"/>
      <c r="I74" s="4" t="n"/>
      <c r="J74" s="4" t="n"/>
    </row>
    <row r="75">
      <c r="A75" s="14">
        <f>IF(F75&lt;&gt;"",ROW()-4,"")</f>
        <v/>
      </c>
      <c r="B75" s="15" t="n"/>
      <c r="C75" s="4" t="n"/>
      <c r="D75" s="4" t="n"/>
      <c r="E75" s="4" t="n"/>
      <c r="F75" s="16" t="n"/>
      <c r="G75" s="4" t="n"/>
      <c r="H75" s="4" t="n"/>
      <c r="I75" s="4" t="n"/>
      <c r="J75" s="4" t="n"/>
    </row>
    <row r="76">
      <c r="A76" s="18">
        <f>IF(F76&lt;&gt;"",ROW()-4,"")</f>
        <v/>
      </c>
      <c r="B76" s="15" t="n"/>
      <c r="C76" s="4" t="n"/>
      <c r="D76" s="4" t="n"/>
      <c r="E76" s="4" t="n"/>
      <c r="F76" s="16" t="n"/>
      <c r="G76" s="4" t="n"/>
      <c r="H76" s="4" t="n"/>
      <c r="I76" s="4" t="n"/>
      <c r="J76" s="4" t="n"/>
    </row>
    <row r="77">
      <c r="A77" s="14">
        <f>IF(F77&lt;&gt;"",ROW()-4,"")</f>
        <v/>
      </c>
      <c r="B77" s="15" t="n"/>
      <c r="C77" s="4" t="n"/>
      <c r="D77" s="4" t="n"/>
      <c r="E77" s="4" t="n"/>
      <c r="F77" s="16" t="n"/>
      <c r="G77" s="4" t="n"/>
      <c r="H77" s="4" t="n"/>
      <c r="I77" s="4" t="n"/>
      <c r="J77" s="4" t="n"/>
    </row>
    <row r="78">
      <c r="A78" s="18">
        <f>IF(F78&lt;&gt;"",ROW()-4,"")</f>
        <v/>
      </c>
      <c r="B78" s="15" t="n"/>
      <c r="C78" s="4" t="n"/>
      <c r="D78" s="4" t="n"/>
      <c r="E78" s="4" t="n"/>
      <c r="F78" s="16" t="n"/>
      <c r="G78" s="4" t="n"/>
      <c r="H78" s="4" t="n"/>
      <c r="I78" s="4" t="n"/>
      <c r="J78" s="4" t="n"/>
    </row>
    <row r="79">
      <c r="A79" s="14">
        <f>IF(F79&lt;&gt;"",ROW()-4,"")</f>
        <v/>
      </c>
      <c r="B79" s="15" t="n"/>
      <c r="C79" s="4" t="n"/>
      <c r="D79" s="4" t="n"/>
      <c r="E79" s="4" t="n"/>
      <c r="F79" s="16" t="n"/>
      <c r="G79" s="4" t="n"/>
      <c r="H79" s="4" t="n"/>
      <c r="I79" s="4" t="n"/>
      <c r="J79" s="4" t="n"/>
    </row>
    <row r="80">
      <c r="A80" s="18">
        <f>IF(F80&lt;&gt;"",ROW()-4,"")</f>
        <v/>
      </c>
      <c r="B80" s="15" t="n"/>
      <c r="C80" s="4" t="n"/>
      <c r="D80" s="4" t="n"/>
      <c r="E80" s="4" t="n"/>
      <c r="F80" s="16" t="n"/>
      <c r="G80" s="4" t="n"/>
      <c r="H80" s="4" t="n"/>
      <c r="I80" s="4" t="n"/>
      <c r="J80" s="4" t="n"/>
    </row>
    <row r="81">
      <c r="A81" s="14">
        <f>IF(F81&lt;&gt;"",ROW()-4,"")</f>
        <v/>
      </c>
      <c r="B81" s="15" t="n"/>
      <c r="C81" s="4" t="n"/>
      <c r="D81" s="4" t="n"/>
      <c r="E81" s="4" t="n"/>
      <c r="F81" s="16" t="n"/>
      <c r="G81" s="4" t="n"/>
      <c r="H81" s="4" t="n"/>
      <c r="I81" s="4" t="n"/>
      <c r="J81" s="4" t="n"/>
    </row>
    <row r="82">
      <c r="A82" s="18">
        <f>IF(F82&lt;&gt;"",ROW()-4,"")</f>
        <v/>
      </c>
      <c r="B82" s="15" t="n"/>
      <c r="C82" s="4" t="n"/>
      <c r="D82" s="4" t="n"/>
      <c r="E82" s="4" t="n"/>
      <c r="F82" s="16" t="n"/>
      <c r="G82" s="4" t="n"/>
      <c r="H82" s="4" t="n"/>
      <c r="I82" s="4" t="n"/>
      <c r="J82" s="4" t="n"/>
    </row>
    <row r="83">
      <c r="A83" s="14">
        <f>IF(F83&lt;&gt;"",ROW()-4,"")</f>
        <v/>
      </c>
      <c r="B83" s="15" t="n"/>
      <c r="C83" s="4" t="n"/>
      <c r="D83" s="4" t="n"/>
      <c r="E83" s="4" t="n"/>
      <c r="F83" s="16" t="n"/>
      <c r="G83" s="4" t="n"/>
      <c r="H83" s="4" t="n"/>
      <c r="I83" s="4" t="n"/>
      <c r="J83" s="4" t="n"/>
    </row>
    <row r="84">
      <c r="A84" s="18">
        <f>IF(F84&lt;&gt;"",ROW()-4,"")</f>
        <v/>
      </c>
      <c r="B84" s="15" t="n"/>
      <c r="C84" s="4" t="n"/>
      <c r="D84" s="4" t="n"/>
      <c r="E84" s="4" t="n"/>
      <c r="F84" s="16" t="n"/>
      <c r="G84" s="4" t="n"/>
      <c r="H84" s="4" t="n"/>
      <c r="I84" s="4" t="n"/>
      <c r="J84" s="4" t="n"/>
    </row>
    <row r="85">
      <c r="A85" s="14">
        <f>IF(F85&lt;&gt;"",ROW()-4,"")</f>
        <v/>
      </c>
      <c r="B85" s="15" t="n"/>
      <c r="C85" s="4" t="n"/>
      <c r="D85" s="4" t="n"/>
      <c r="E85" s="4" t="n"/>
      <c r="F85" s="16" t="n"/>
      <c r="G85" s="4" t="n"/>
      <c r="H85" s="4" t="n"/>
      <c r="I85" s="4" t="n"/>
      <c r="J85" s="4" t="n"/>
    </row>
    <row r="86">
      <c r="A86" s="18">
        <f>IF(F86&lt;&gt;"",ROW()-4,"")</f>
        <v/>
      </c>
      <c r="B86" s="15" t="n"/>
      <c r="C86" s="4" t="n"/>
      <c r="D86" s="4" t="n"/>
      <c r="E86" s="4" t="n"/>
      <c r="F86" s="16" t="n"/>
      <c r="G86" s="4" t="n"/>
      <c r="H86" s="4" t="n"/>
      <c r="I86" s="4" t="n"/>
      <c r="J86" s="4" t="n"/>
    </row>
    <row r="87">
      <c r="A87" s="14">
        <f>IF(F87&lt;&gt;"",ROW()-4,"")</f>
        <v/>
      </c>
      <c r="B87" s="15" t="n"/>
      <c r="C87" s="4" t="n"/>
      <c r="D87" s="4" t="n"/>
      <c r="E87" s="4" t="n"/>
      <c r="F87" s="16" t="n"/>
      <c r="G87" s="4" t="n"/>
      <c r="H87" s="4" t="n"/>
      <c r="I87" s="4" t="n"/>
      <c r="J87" s="4" t="n"/>
    </row>
    <row r="88">
      <c r="A88" s="18">
        <f>IF(F88&lt;&gt;"",ROW()-4,"")</f>
        <v/>
      </c>
      <c r="B88" s="15" t="n"/>
      <c r="C88" s="4" t="n"/>
      <c r="D88" s="4" t="n"/>
      <c r="E88" s="4" t="n"/>
      <c r="F88" s="16" t="n"/>
      <c r="G88" s="4" t="n"/>
      <c r="H88" s="4" t="n"/>
      <c r="I88" s="4" t="n"/>
      <c r="J88" s="4" t="n"/>
    </row>
    <row r="89">
      <c r="A89" s="14">
        <f>IF(F89&lt;&gt;"",ROW()-4,"")</f>
        <v/>
      </c>
      <c r="B89" s="15" t="n"/>
      <c r="C89" s="4" t="n"/>
      <c r="D89" s="4" t="n"/>
      <c r="E89" s="4" t="n"/>
      <c r="F89" s="16" t="n"/>
      <c r="G89" s="4" t="n"/>
      <c r="H89" s="4" t="n"/>
      <c r="I89" s="4" t="n"/>
      <c r="J89" s="4" t="n"/>
    </row>
    <row r="90">
      <c r="A90" s="18">
        <f>IF(F90&lt;&gt;"",ROW()-4,"")</f>
        <v/>
      </c>
      <c r="B90" s="15" t="n"/>
      <c r="C90" s="4" t="n"/>
      <c r="D90" s="4" t="n"/>
      <c r="E90" s="4" t="n"/>
      <c r="F90" s="16" t="n"/>
      <c r="G90" s="4" t="n"/>
      <c r="H90" s="4" t="n"/>
      <c r="I90" s="4" t="n"/>
      <c r="J90" s="4" t="n"/>
    </row>
    <row r="91">
      <c r="A91" s="14">
        <f>IF(F91&lt;&gt;"",ROW()-4,"")</f>
        <v/>
      </c>
      <c r="B91" s="15" t="n"/>
      <c r="C91" s="4" t="n"/>
      <c r="D91" s="4" t="n"/>
      <c r="E91" s="4" t="n"/>
      <c r="F91" s="16" t="n"/>
      <c r="G91" s="4" t="n"/>
      <c r="H91" s="4" t="n"/>
      <c r="I91" s="4" t="n"/>
      <c r="J91" s="4" t="n"/>
    </row>
    <row r="92">
      <c r="A92" s="18">
        <f>IF(F92&lt;&gt;"",ROW()-4,"")</f>
        <v/>
      </c>
      <c r="B92" s="15" t="n"/>
      <c r="C92" s="4" t="n"/>
      <c r="D92" s="4" t="n"/>
      <c r="E92" s="4" t="n"/>
      <c r="F92" s="16" t="n"/>
      <c r="G92" s="4" t="n"/>
      <c r="H92" s="4" t="n"/>
      <c r="I92" s="4" t="n"/>
      <c r="J92" s="4" t="n"/>
    </row>
    <row r="93">
      <c r="A93" s="14">
        <f>IF(F93&lt;&gt;"",ROW()-4,"")</f>
        <v/>
      </c>
      <c r="B93" s="15" t="n"/>
      <c r="C93" s="4" t="n"/>
      <c r="D93" s="4" t="n"/>
      <c r="E93" s="4" t="n"/>
      <c r="F93" s="16" t="n"/>
      <c r="G93" s="4" t="n"/>
      <c r="H93" s="4" t="n"/>
      <c r="I93" s="4" t="n"/>
      <c r="J93" s="4" t="n"/>
    </row>
    <row r="94">
      <c r="A94" s="18">
        <f>IF(F94&lt;&gt;"",ROW()-4,"")</f>
        <v/>
      </c>
      <c r="B94" s="15" t="n"/>
      <c r="C94" s="4" t="n"/>
      <c r="D94" s="4" t="n"/>
      <c r="E94" s="4" t="n"/>
      <c r="F94" s="16" t="n"/>
      <c r="G94" s="4" t="n"/>
      <c r="H94" s="4" t="n"/>
      <c r="I94" s="4" t="n"/>
      <c r="J94" s="4" t="n"/>
    </row>
    <row r="95">
      <c r="A95" s="14">
        <f>IF(F95&lt;&gt;"",ROW()-4,"")</f>
        <v/>
      </c>
      <c r="B95" s="15" t="n"/>
      <c r="C95" s="4" t="n"/>
      <c r="D95" s="4" t="n"/>
      <c r="E95" s="4" t="n"/>
      <c r="F95" s="16" t="n"/>
      <c r="G95" s="4" t="n"/>
      <c r="H95" s="4" t="n"/>
      <c r="I95" s="4" t="n"/>
      <c r="J95" s="4" t="n"/>
    </row>
    <row r="96">
      <c r="A96" s="18">
        <f>IF(F96&lt;&gt;"",ROW()-4,"")</f>
        <v/>
      </c>
      <c r="B96" s="15" t="n"/>
      <c r="C96" s="4" t="n"/>
      <c r="D96" s="4" t="n"/>
      <c r="E96" s="4" t="n"/>
      <c r="F96" s="16" t="n"/>
      <c r="G96" s="4" t="n"/>
      <c r="H96" s="4" t="n"/>
      <c r="I96" s="4" t="n"/>
      <c r="J96" s="4" t="n"/>
    </row>
    <row r="97">
      <c r="A97" s="14">
        <f>IF(F97&lt;&gt;"",ROW()-4,"")</f>
        <v/>
      </c>
      <c r="B97" s="15" t="n"/>
      <c r="C97" s="4" t="n"/>
      <c r="D97" s="4" t="n"/>
      <c r="E97" s="4" t="n"/>
      <c r="F97" s="16" t="n"/>
      <c r="G97" s="4" t="n"/>
      <c r="H97" s="4" t="n"/>
      <c r="I97" s="4" t="n"/>
      <c r="J97" s="4" t="n"/>
    </row>
    <row r="98">
      <c r="A98" s="18">
        <f>IF(F98&lt;&gt;"",ROW()-4,"")</f>
        <v/>
      </c>
      <c r="B98" s="15" t="n"/>
      <c r="C98" s="4" t="n"/>
      <c r="D98" s="4" t="n"/>
      <c r="E98" s="4" t="n"/>
      <c r="F98" s="16" t="n"/>
      <c r="G98" s="4" t="n"/>
      <c r="H98" s="4" t="n"/>
      <c r="I98" s="4" t="n"/>
      <c r="J98" s="4" t="n"/>
    </row>
    <row r="99">
      <c r="A99" s="14">
        <f>IF(F99&lt;&gt;"",ROW()-4,"")</f>
        <v/>
      </c>
      <c r="B99" s="15" t="n"/>
      <c r="C99" s="4" t="n"/>
      <c r="D99" s="4" t="n"/>
      <c r="E99" s="4" t="n"/>
      <c r="F99" s="16" t="n"/>
      <c r="G99" s="4" t="n"/>
      <c r="H99" s="4" t="n"/>
      <c r="I99" s="4" t="n"/>
      <c r="J99" s="4" t="n"/>
    </row>
    <row r="100">
      <c r="A100" s="18">
        <f>IF(F100&lt;&gt;"",ROW()-4,"")</f>
        <v/>
      </c>
      <c r="B100" s="15" t="n"/>
      <c r="C100" s="4" t="n"/>
      <c r="D100" s="4" t="n"/>
      <c r="E100" s="4" t="n"/>
      <c r="F100" s="16" t="n"/>
      <c r="G100" s="4" t="n"/>
      <c r="H100" s="4" t="n"/>
      <c r="I100" s="4" t="n"/>
      <c r="J100" s="4" t="n"/>
    </row>
    <row r="101">
      <c r="A101" s="14">
        <f>IF(F101&lt;&gt;"",ROW()-4,"")</f>
        <v/>
      </c>
      <c r="B101" s="15" t="n"/>
      <c r="C101" s="4" t="n"/>
      <c r="D101" s="4" t="n"/>
      <c r="E101" s="4" t="n"/>
      <c r="F101" s="16" t="n"/>
      <c r="G101" s="4" t="n"/>
      <c r="H101" s="4" t="n"/>
      <c r="I101" s="4" t="n"/>
      <c r="J101" s="4" t="n"/>
    </row>
    <row r="102">
      <c r="A102" s="18">
        <f>IF(F102&lt;&gt;"",ROW()-4,"")</f>
        <v/>
      </c>
      <c r="B102" s="15" t="n"/>
      <c r="C102" s="4" t="n"/>
      <c r="D102" s="4" t="n"/>
      <c r="E102" s="4" t="n"/>
      <c r="F102" s="16" t="n"/>
      <c r="G102" s="4" t="n"/>
      <c r="H102" s="4" t="n"/>
      <c r="I102" s="4" t="n"/>
      <c r="J102" s="4" t="n"/>
    </row>
    <row r="103">
      <c r="A103" s="14">
        <f>IF(F103&lt;&gt;"",ROW()-4,"")</f>
        <v/>
      </c>
      <c r="B103" s="15" t="n"/>
      <c r="C103" s="4" t="n"/>
      <c r="D103" s="4" t="n"/>
      <c r="E103" s="4" t="n"/>
      <c r="F103" s="16" t="n"/>
      <c r="G103" s="4" t="n"/>
      <c r="H103" s="4" t="n"/>
      <c r="I103" s="4" t="n"/>
      <c r="J103" s="4" t="n"/>
    </row>
    <row r="104">
      <c r="A104" s="18">
        <f>IF(F104&lt;&gt;"",ROW()-4,"")</f>
        <v/>
      </c>
      <c r="B104" s="15" t="n"/>
      <c r="C104" s="4" t="n"/>
      <c r="D104" s="4" t="n"/>
      <c r="E104" s="4" t="n"/>
      <c r="F104" s="16" t="n"/>
      <c r="G104" s="4" t="n"/>
      <c r="H104" s="4" t="n"/>
      <c r="I104" s="4" t="n"/>
      <c r="J104" s="4" t="n"/>
    </row>
    <row r="105">
      <c r="A105" s="14">
        <f>IF(F105&lt;&gt;"",ROW()-4,"")</f>
        <v/>
      </c>
      <c r="B105" s="15" t="n"/>
      <c r="C105" s="4" t="n"/>
      <c r="D105" s="4" t="n"/>
      <c r="E105" s="4" t="n"/>
      <c r="F105" s="16" t="n"/>
      <c r="G105" s="4" t="n"/>
      <c r="H105" s="4" t="n"/>
      <c r="I105" s="4" t="n"/>
      <c r="J105" s="4" t="n"/>
    </row>
    <row r="106">
      <c r="A106" s="18">
        <f>IF(F106&lt;&gt;"",ROW()-4,"")</f>
        <v/>
      </c>
      <c r="B106" s="15" t="n"/>
      <c r="C106" s="4" t="n"/>
      <c r="D106" s="4" t="n"/>
      <c r="E106" s="4" t="n"/>
      <c r="F106" s="16" t="n"/>
      <c r="G106" s="4" t="n"/>
      <c r="H106" s="4" t="n"/>
      <c r="I106" s="4" t="n"/>
      <c r="J106" s="4" t="n"/>
    </row>
    <row r="107">
      <c r="A107" s="14">
        <f>IF(F107&lt;&gt;"",ROW()-4,"")</f>
        <v/>
      </c>
      <c r="B107" s="15" t="n"/>
      <c r="C107" s="4" t="n"/>
      <c r="D107" s="4" t="n"/>
      <c r="E107" s="4" t="n"/>
      <c r="F107" s="16" t="n"/>
      <c r="G107" s="4" t="n"/>
      <c r="H107" s="4" t="n"/>
      <c r="I107" s="4" t="n"/>
      <c r="J107" s="4" t="n"/>
    </row>
    <row r="108">
      <c r="A108" s="18">
        <f>IF(F108&lt;&gt;"",ROW()-4,"")</f>
        <v/>
      </c>
      <c r="B108" s="15" t="n"/>
      <c r="C108" s="4" t="n"/>
      <c r="D108" s="4" t="n"/>
      <c r="E108" s="4" t="n"/>
      <c r="F108" s="16" t="n"/>
      <c r="G108" s="4" t="n"/>
      <c r="H108" s="4" t="n"/>
      <c r="I108" s="4" t="n"/>
      <c r="J108" s="4" t="n"/>
    </row>
    <row r="109">
      <c r="A109" s="14">
        <f>IF(F109&lt;&gt;"",ROW()-4,"")</f>
        <v/>
      </c>
      <c r="B109" s="15" t="n"/>
      <c r="C109" s="4" t="n"/>
      <c r="D109" s="4" t="n"/>
      <c r="E109" s="4" t="n"/>
      <c r="F109" s="16" t="n"/>
      <c r="G109" s="4" t="n"/>
      <c r="H109" s="4" t="n"/>
      <c r="I109" s="4" t="n"/>
      <c r="J109" s="4" t="n"/>
    </row>
    <row r="110">
      <c r="A110" s="18">
        <f>IF(F110&lt;&gt;"",ROW()-4,"")</f>
        <v/>
      </c>
      <c r="B110" s="15" t="n"/>
      <c r="C110" s="4" t="n"/>
      <c r="D110" s="4" t="n"/>
      <c r="E110" s="4" t="n"/>
      <c r="F110" s="16" t="n"/>
      <c r="G110" s="4" t="n"/>
      <c r="H110" s="4" t="n"/>
      <c r="I110" s="4" t="n"/>
      <c r="J110" s="4" t="n"/>
    </row>
    <row r="111">
      <c r="A111" s="14">
        <f>IF(F111&lt;&gt;"",ROW()-4,"")</f>
        <v/>
      </c>
      <c r="B111" s="15" t="n"/>
      <c r="C111" s="4" t="n"/>
      <c r="D111" s="4" t="n"/>
      <c r="E111" s="4" t="n"/>
      <c r="F111" s="16" t="n"/>
      <c r="G111" s="4" t="n"/>
      <c r="H111" s="4" t="n"/>
      <c r="I111" s="4" t="n"/>
      <c r="J111" s="4" t="n"/>
    </row>
    <row r="112">
      <c r="A112" s="18">
        <f>IF(F112&lt;&gt;"",ROW()-4,"")</f>
        <v/>
      </c>
      <c r="B112" s="15" t="n"/>
      <c r="C112" s="4" t="n"/>
      <c r="D112" s="4" t="n"/>
      <c r="E112" s="4" t="n"/>
      <c r="F112" s="16" t="n"/>
      <c r="G112" s="4" t="n"/>
      <c r="H112" s="4" t="n"/>
      <c r="I112" s="4" t="n"/>
      <c r="J112" s="4" t="n"/>
    </row>
    <row r="113">
      <c r="A113" s="14">
        <f>IF(F113&lt;&gt;"",ROW()-4,"")</f>
        <v/>
      </c>
      <c r="B113" s="15" t="n"/>
      <c r="C113" s="4" t="n"/>
      <c r="D113" s="4" t="n"/>
      <c r="E113" s="4" t="n"/>
      <c r="F113" s="16" t="n"/>
      <c r="G113" s="4" t="n"/>
      <c r="H113" s="4" t="n"/>
      <c r="I113" s="4" t="n"/>
      <c r="J113" s="4" t="n"/>
    </row>
    <row r="114">
      <c r="A114" s="18">
        <f>IF(F114&lt;&gt;"",ROW()-4,"")</f>
        <v/>
      </c>
      <c r="B114" s="15" t="n"/>
      <c r="C114" s="4" t="n"/>
      <c r="D114" s="4" t="n"/>
      <c r="E114" s="4" t="n"/>
      <c r="F114" s="16" t="n"/>
      <c r="G114" s="4" t="n"/>
      <c r="H114" s="4" t="n"/>
      <c r="I114" s="4" t="n"/>
      <c r="J114" s="4" t="n"/>
    </row>
    <row r="115">
      <c r="A115" s="14">
        <f>IF(F115&lt;&gt;"",ROW()-4,"")</f>
        <v/>
      </c>
      <c r="B115" s="15" t="n"/>
      <c r="C115" s="4" t="n"/>
      <c r="D115" s="4" t="n"/>
      <c r="E115" s="4" t="n"/>
      <c r="F115" s="16" t="n"/>
      <c r="G115" s="4" t="n"/>
      <c r="H115" s="4" t="n"/>
      <c r="I115" s="4" t="n"/>
      <c r="J115" s="4" t="n"/>
    </row>
    <row r="116">
      <c r="A116" s="18">
        <f>IF(F116&lt;&gt;"",ROW()-4,"")</f>
        <v/>
      </c>
      <c r="B116" s="15" t="n"/>
      <c r="C116" s="4" t="n"/>
      <c r="D116" s="4" t="n"/>
      <c r="E116" s="4" t="n"/>
      <c r="F116" s="16" t="n"/>
      <c r="G116" s="4" t="n"/>
      <c r="H116" s="4" t="n"/>
      <c r="I116" s="4" t="n"/>
      <c r="J116" s="4" t="n"/>
    </row>
    <row r="117">
      <c r="A117" s="14">
        <f>IF(F117&lt;&gt;"",ROW()-4,"")</f>
        <v/>
      </c>
      <c r="B117" s="15" t="n"/>
      <c r="C117" s="4" t="n"/>
      <c r="D117" s="4" t="n"/>
      <c r="E117" s="4" t="n"/>
      <c r="F117" s="16" t="n"/>
      <c r="G117" s="4" t="n"/>
      <c r="H117" s="4" t="n"/>
      <c r="I117" s="4" t="n"/>
      <c r="J117" s="4" t="n"/>
    </row>
    <row r="118">
      <c r="A118" s="18">
        <f>IF(F118&lt;&gt;"",ROW()-4,"")</f>
        <v/>
      </c>
      <c r="B118" s="15" t="n"/>
      <c r="C118" s="4" t="n"/>
      <c r="D118" s="4" t="n"/>
      <c r="E118" s="4" t="n"/>
      <c r="F118" s="16" t="n"/>
      <c r="G118" s="4" t="n"/>
      <c r="H118" s="4" t="n"/>
      <c r="I118" s="4" t="n"/>
      <c r="J118" s="4" t="n"/>
    </row>
    <row r="119">
      <c r="A119" s="14">
        <f>IF(F119&lt;&gt;"",ROW()-4,"")</f>
        <v/>
      </c>
      <c r="B119" s="15" t="n"/>
      <c r="C119" s="4" t="n"/>
      <c r="D119" s="4" t="n"/>
      <c r="E119" s="4" t="n"/>
      <c r="F119" s="16" t="n"/>
      <c r="G119" s="4" t="n"/>
      <c r="H119" s="4" t="n"/>
      <c r="I119" s="4" t="n"/>
      <c r="J119" s="4" t="n"/>
    </row>
    <row r="120">
      <c r="A120" s="18">
        <f>IF(F120&lt;&gt;"",ROW()-4,"")</f>
        <v/>
      </c>
      <c r="B120" s="15" t="n"/>
      <c r="C120" s="4" t="n"/>
      <c r="D120" s="4" t="n"/>
      <c r="E120" s="4" t="n"/>
      <c r="F120" s="16" t="n"/>
      <c r="G120" s="4" t="n"/>
      <c r="H120" s="4" t="n"/>
      <c r="I120" s="4" t="n"/>
      <c r="J120" s="4" t="n"/>
    </row>
    <row r="121">
      <c r="A121" s="14">
        <f>IF(F121&lt;&gt;"",ROW()-4,"")</f>
        <v/>
      </c>
      <c r="B121" s="15" t="n"/>
      <c r="C121" s="4" t="n"/>
      <c r="D121" s="4" t="n"/>
      <c r="E121" s="4" t="n"/>
      <c r="F121" s="16" t="n"/>
      <c r="G121" s="4" t="n"/>
      <c r="H121" s="4" t="n"/>
      <c r="I121" s="4" t="n"/>
      <c r="J121" s="4" t="n"/>
    </row>
    <row r="122">
      <c r="A122" s="18">
        <f>IF(F122&lt;&gt;"",ROW()-4,"")</f>
        <v/>
      </c>
      <c r="B122" s="15" t="n"/>
      <c r="C122" s="4" t="n"/>
      <c r="D122" s="4" t="n"/>
      <c r="E122" s="4" t="n"/>
      <c r="F122" s="16" t="n"/>
      <c r="G122" s="4" t="n"/>
      <c r="H122" s="4" t="n"/>
      <c r="I122" s="4" t="n"/>
      <c r="J122" s="4" t="n"/>
    </row>
    <row r="123">
      <c r="A123" s="14">
        <f>IF(F123&lt;&gt;"",ROW()-4,"")</f>
        <v/>
      </c>
      <c r="B123" s="15" t="n"/>
      <c r="C123" s="4" t="n"/>
      <c r="D123" s="4" t="n"/>
      <c r="E123" s="4" t="n"/>
      <c r="F123" s="16" t="n"/>
      <c r="G123" s="4" t="n"/>
      <c r="H123" s="4" t="n"/>
      <c r="I123" s="4" t="n"/>
      <c r="J123" s="4" t="n"/>
    </row>
    <row r="124">
      <c r="A124" s="18">
        <f>IF(F124&lt;&gt;"",ROW()-4,"")</f>
        <v/>
      </c>
      <c r="B124" s="15" t="n"/>
      <c r="C124" s="4" t="n"/>
      <c r="D124" s="4" t="n"/>
      <c r="E124" s="4" t="n"/>
      <c r="F124" s="16" t="n"/>
      <c r="G124" s="4" t="n"/>
      <c r="H124" s="4" t="n"/>
      <c r="I124" s="4" t="n"/>
      <c r="J124" s="4" t="n"/>
    </row>
    <row r="125">
      <c r="A125" s="14">
        <f>IF(F125&lt;&gt;"",ROW()-4,"")</f>
        <v/>
      </c>
      <c r="B125" s="15" t="n"/>
      <c r="C125" s="4" t="n"/>
      <c r="D125" s="4" t="n"/>
      <c r="E125" s="4" t="n"/>
      <c r="F125" s="16" t="n"/>
      <c r="G125" s="4" t="n"/>
      <c r="H125" s="4" t="n"/>
      <c r="I125" s="4" t="n"/>
      <c r="J125" s="4" t="n"/>
    </row>
    <row r="126">
      <c r="A126" s="18">
        <f>IF(F126&lt;&gt;"",ROW()-4,"")</f>
        <v/>
      </c>
      <c r="B126" s="15" t="n"/>
      <c r="C126" s="4" t="n"/>
      <c r="D126" s="4" t="n"/>
      <c r="E126" s="4" t="n"/>
      <c r="F126" s="16" t="n"/>
      <c r="G126" s="4" t="n"/>
      <c r="H126" s="4" t="n"/>
      <c r="I126" s="4" t="n"/>
      <c r="J126" s="4" t="n"/>
    </row>
    <row r="127">
      <c r="A127" s="14">
        <f>IF(F127&lt;&gt;"",ROW()-4,"")</f>
        <v/>
      </c>
      <c r="B127" s="15" t="n"/>
      <c r="C127" s="4" t="n"/>
      <c r="D127" s="4" t="n"/>
      <c r="E127" s="4" t="n"/>
      <c r="F127" s="16" t="n"/>
      <c r="G127" s="4" t="n"/>
      <c r="H127" s="4" t="n"/>
      <c r="I127" s="4" t="n"/>
      <c r="J127" s="4" t="n"/>
    </row>
    <row r="128">
      <c r="A128" s="18">
        <f>IF(F128&lt;&gt;"",ROW()-4,"")</f>
        <v/>
      </c>
      <c r="B128" s="15" t="n"/>
      <c r="C128" s="4" t="n"/>
      <c r="D128" s="4" t="n"/>
      <c r="E128" s="4" t="n"/>
      <c r="F128" s="16" t="n"/>
      <c r="G128" s="4" t="n"/>
      <c r="H128" s="4" t="n"/>
      <c r="I128" s="4" t="n"/>
      <c r="J128" s="4" t="n"/>
    </row>
    <row r="129">
      <c r="A129" s="14">
        <f>IF(F129&lt;&gt;"",ROW()-4,"")</f>
        <v/>
      </c>
      <c r="B129" s="15" t="n"/>
      <c r="C129" s="4" t="n"/>
      <c r="D129" s="4" t="n"/>
      <c r="E129" s="4" t="n"/>
      <c r="F129" s="16" t="n"/>
      <c r="G129" s="4" t="n"/>
      <c r="H129" s="4" t="n"/>
      <c r="I129" s="4" t="n"/>
      <c r="J129" s="4" t="n"/>
    </row>
    <row r="130">
      <c r="A130" s="18">
        <f>IF(F130&lt;&gt;"",ROW()-4,"")</f>
        <v/>
      </c>
      <c r="B130" s="15" t="n"/>
      <c r="C130" s="4" t="n"/>
      <c r="D130" s="4" t="n"/>
      <c r="E130" s="4" t="n"/>
      <c r="F130" s="16" t="n"/>
      <c r="G130" s="4" t="n"/>
      <c r="H130" s="4" t="n"/>
      <c r="I130" s="4" t="n"/>
      <c r="J130" s="4" t="n"/>
    </row>
    <row r="131">
      <c r="A131" s="14">
        <f>IF(F131&lt;&gt;"",ROW()-4,"")</f>
        <v/>
      </c>
      <c r="B131" s="15" t="n"/>
      <c r="C131" s="4" t="n"/>
      <c r="D131" s="4" t="n"/>
      <c r="E131" s="4" t="n"/>
      <c r="F131" s="16" t="n"/>
      <c r="G131" s="4" t="n"/>
      <c r="H131" s="4" t="n"/>
      <c r="I131" s="4" t="n"/>
      <c r="J131" s="4" t="n"/>
    </row>
    <row r="132">
      <c r="A132" s="18">
        <f>IF(F132&lt;&gt;"",ROW()-4,"")</f>
        <v/>
      </c>
      <c r="B132" s="15" t="n"/>
      <c r="C132" s="4" t="n"/>
      <c r="D132" s="4" t="n"/>
      <c r="E132" s="4" t="n"/>
      <c r="F132" s="16" t="n"/>
      <c r="G132" s="4" t="n"/>
      <c r="H132" s="4" t="n"/>
      <c r="I132" s="4" t="n"/>
      <c r="J132" s="4" t="n"/>
    </row>
    <row r="133">
      <c r="A133" s="14">
        <f>IF(F133&lt;&gt;"",ROW()-4,"")</f>
        <v/>
      </c>
      <c r="B133" s="15" t="n"/>
      <c r="C133" s="4" t="n"/>
      <c r="D133" s="4" t="n"/>
      <c r="E133" s="4" t="n"/>
      <c r="F133" s="16" t="n"/>
      <c r="G133" s="4" t="n"/>
      <c r="H133" s="4" t="n"/>
      <c r="I133" s="4" t="n"/>
      <c r="J133" s="4" t="n"/>
    </row>
    <row r="134">
      <c r="A134" s="18">
        <f>IF(F134&lt;&gt;"",ROW()-4,"")</f>
        <v/>
      </c>
      <c r="B134" s="15" t="n"/>
      <c r="C134" s="4" t="n"/>
      <c r="D134" s="4" t="n"/>
      <c r="E134" s="4" t="n"/>
      <c r="F134" s="16" t="n"/>
      <c r="G134" s="4" t="n"/>
      <c r="H134" s="4" t="n"/>
      <c r="I134" s="4" t="n"/>
      <c r="J134" s="4" t="n"/>
    </row>
    <row r="135">
      <c r="A135" s="14">
        <f>IF(F135&lt;&gt;"",ROW()-4,"")</f>
        <v/>
      </c>
      <c r="B135" s="15" t="n"/>
      <c r="C135" s="4" t="n"/>
      <c r="D135" s="4" t="n"/>
      <c r="E135" s="4" t="n"/>
      <c r="F135" s="16" t="n"/>
      <c r="G135" s="4" t="n"/>
      <c r="H135" s="4" t="n"/>
      <c r="I135" s="4" t="n"/>
      <c r="J135" s="4" t="n"/>
    </row>
    <row r="136">
      <c r="A136" s="18">
        <f>IF(F136&lt;&gt;"",ROW()-4,"")</f>
        <v/>
      </c>
      <c r="B136" s="15" t="n"/>
      <c r="C136" s="4" t="n"/>
      <c r="D136" s="4" t="n"/>
      <c r="E136" s="4" t="n"/>
      <c r="F136" s="16" t="n"/>
      <c r="G136" s="4" t="n"/>
      <c r="H136" s="4" t="n"/>
      <c r="I136" s="4" t="n"/>
      <c r="J136" s="4" t="n"/>
    </row>
    <row r="137">
      <c r="A137" s="14">
        <f>IF(F137&lt;&gt;"",ROW()-4,"")</f>
        <v/>
      </c>
      <c r="B137" s="15" t="n"/>
      <c r="C137" s="4" t="n"/>
      <c r="D137" s="4" t="n"/>
      <c r="E137" s="4" t="n"/>
      <c r="F137" s="16" t="n"/>
      <c r="G137" s="4" t="n"/>
      <c r="H137" s="4" t="n"/>
      <c r="I137" s="4" t="n"/>
      <c r="J137" s="4" t="n"/>
    </row>
    <row r="138">
      <c r="A138" s="18">
        <f>IF(F138&lt;&gt;"",ROW()-4,"")</f>
        <v/>
      </c>
      <c r="B138" s="15" t="n"/>
      <c r="C138" s="4" t="n"/>
      <c r="D138" s="4" t="n"/>
      <c r="E138" s="4" t="n"/>
      <c r="F138" s="16" t="n"/>
      <c r="G138" s="4" t="n"/>
      <c r="H138" s="4" t="n"/>
      <c r="I138" s="4" t="n"/>
      <c r="J138" s="4" t="n"/>
    </row>
    <row r="139">
      <c r="A139" s="14">
        <f>IF(F139&lt;&gt;"",ROW()-4,"")</f>
        <v/>
      </c>
      <c r="B139" s="15" t="n"/>
      <c r="C139" s="4" t="n"/>
      <c r="D139" s="4" t="n"/>
      <c r="E139" s="4" t="n"/>
      <c r="F139" s="16" t="n"/>
      <c r="G139" s="4" t="n"/>
      <c r="H139" s="4" t="n"/>
      <c r="I139" s="4" t="n"/>
      <c r="J139" s="4" t="n"/>
    </row>
    <row r="140">
      <c r="A140" s="18">
        <f>IF(F140&lt;&gt;"",ROW()-4,"")</f>
        <v/>
      </c>
      <c r="B140" s="15" t="n"/>
      <c r="C140" s="4" t="n"/>
      <c r="D140" s="4" t="n"/>
      <c r="E140" s="4" t="n"/>
      <c r="F140" s="16" t="n"/>
      <c r="G140" s="4" t="n"/>
      <c r="H140" s="4" t="n"/>
      <c r="I140" s="4" t="n"/>
      <c r="J140" s="4" t="n"/>
    </row>
    <row r="141">
      <c r="A141" s="14">
        <f>IF(F141&lt;&gt;"",ROW()-4,"")</f>
        <v/>
      </c>
      <c r="B141" s="15" t="n"/>
      <c r="C141" s="4" t="n"/>
      <c r="D141" s="4" t="n"/>
      <c r="E141" s="4" t="n"/>
      <c r="F141" s="16" t="n"/>
      <c r="G141" s="4" t="n"/>
      <c r="H141" s="4" t="n"/>
      <c r="I141" s="4" t="n"/>
      <c r="J141" s="4" t="n"/>
    </row>
    <row r="142">
      <c r="A142" s="18">
        <f>IF(F142&lt;&gt;"",ROW()-4,"")</f>
        <v/>
      </c>
      <c r="B142" s="15" t="n"/>
      <c r="C142" s="4" t="n"/>
      <c r="D142" s="4" t="n"/>
      <c r="E142" s="4" t="n"/>
      <c r="F142" s="16" t="n"/>
      <c r="G142" s="4" t="n"/>
      <c r="H142" s="4" t="n"/>
      <c r="I142" s="4" t="n"/>
      <c r="J142" s="4" t="n"/>
    </row>
    <row r="143">
      <c r="A143" s="14">
        <f>IF(F143&lt;&gt;"",ROW()-4,"")</f>
        <v/>
      </c>
      <c r="B143" s="15" t="n"/>
      <c r="C143" s="4" t="n"/>
      <c r="D143" s="4" t="n"/>
      <c r="E143" s="4" t="n"/>
      <c r="F143" s="16" t="n"/>
      <c r="G143" s="4" t="n"/>
      <c r="H143" s="4" t="n"/>
      <c r="I143" s="4" t="n"/>
      <c r="J143" s="4" t="n"/>
    </row>
    <row r="144">
      <c r="A144" s="18">
        <f>IF(F144&lt;&gt;"",ROW()-4,"")</f>
        <v/>
      </c>
      <c r="B144" s="15" t="n"/>
      <c r="C144" s="4" t="n"/>
      <c r="D144" s="4" t="n"/>
      <c r="E144" s="4" t="n"/>
      <c r="F144" s="16" t="n"/>
      <c r="G144" s="4" t="n"/>
      <c r="H144" s="4" t="n"/>
      <c r="I144" s="4" t="n"/>
      <c r="J144" s="4" t="n"/>
    </row>
    <row r="145">
      <c r="A145" s="14">
        <f>IF(F145&lt;&gt;"",ROW()-4,"")</f>
        <v/>
      </c>
      <c r="B145" s="15" t="n"/>
      <c r="C145" s="4" t="n"/>
      <c r="D145" s="4" t="n"/>
      <c r="E145" s="4" t="n"/>
      <c r="F145" s="16" t="n"/>
      <c r="G145" s="4" t="n"/>
      <c r="H145" s="4" t="n"/>
      <c r="I145" s="4" t="n"/>
      <c r="J145" s="4" t="n"/>
    </row>
    <row r="146">
      <c r="A146" s="18">
        <f>IF(F146&lt;&gt;"",ROW()-4,"")</f>
        <v/>
      </c>
      <c r="B146" s="15" t="n"/>
      <c r="C146" s="4" t="n"/>
      <c r="D146" s="4" t="n"/>
      <c r="E146" s="4" t="n"/>
      <c r="F146" s="16" t="n"/>
      <c r="G146" s="4" t="n"/>
      <c r="H146" s="4" t="n"/>
      <c r="I146" s="4" t="n"/>
      <c r="J146" s="4" t="n"/>
    </row>
    <row r="147">
      <c r="A147" s="14">
        <f>IF(F147&lt;&gt;"",ROW()-4,"")</f>
        <v/>
      </c>
      <c r="B147" s="15" t="n"/>
      <c r="C147" s="4" t="n"/>
      <c r="D147" s="4" t="n"/>
      <c r="E147" s="4" t="n"/>
      <c r="F147" s="16" t="n"/>
      <c r="G147" s="4" t="n"/>
      <c r="H147" s="4" t="n"/>
      <c r="I147" s="4" t="n"/>
      <c r="J147" s="4" t="n"/>
    </row>
    <row r="148">
      <c r="A148" s="18">
        <f>IF(F148&lt;&gt;"",ROW()-4,"")</f>
        <v/>
      </c>
      <c r="B148" s="15" t="n"/>
      <c r="C148" s="4" t="n"/>
      <c r="D148" s="4" t="n"/>
      <c r="E148" s="4" t="n"/>
      <c r="F148" s="16" t="n"/>
      <c r="G148" s="4" t="n"/>
      <c r="H148" s="4" t="n"/>
      <c r="I148" s="4" t="n"/>
      <c r="J148" s="4" t="n"/>
    </row>
    <row r="149">
      <c r="A149" s="14">
        <f>IF(F149&lt;&gt;"",ROW()-4,"")</f>
        <v/>
      </c>
      <c r="B149" s="15" t="n"/>
      <c r="C149" s="4" t="n"/>
      <c r="D149" s="4" t="n"/>
      <c r="E149" s="4" t="n"/>
      <c r="F149" s="16" t="n"/>
      <c r="G149" s="4" t="n"/>
      <c r="H149" s="4" t="n"/>
      <c r="I149" s="4" t="n"/>
      <c r="J149" s="4" t="n"/>
    </row>
    <row r="150">
      <c r="A150" s="18">
        <f>IF(F150&lt;&gt;"",ROW()-4,"")</f>
        <v/>
      </c>
      <c r="B150" s="15" t="n"/>
      <c r="C150" s="4" t="n"/>
      <c r="D150" s="4" t="n"/>
      <c r="E150" s="4" t="n"/>
      <c r="F150" s="16" t="n"/>
      <c r="G150" s="4" t="n"/>
      <c r="H150" s="4" t="n"/>
      <c r="I150" s="4" t="n"/>
      <c r="J150" s="4" t="n"/>
    </row>
    <row r="151">
      <c r="A151" s="14">
        <f>IF(F151&lt;&gt;"",ROW()-4,"")</f>
        <v/>
      </c>
      <c r="B151" s="15" t="n"/>
      <c r="C151" s="4" t="n"/>
      <c r="D151" s="4" t="n"/>
      <c r="E151" s="4" t="n"/>
      <c r="F151" s="16" t="n"/>
      <c r="G151" s="4" t="n"/>
      <c r="H151" s="4" t="n"/>
      <c r="I151" s="4" t="n"/>
      <c r="J151" s="4" t="n"/>
    </row>
    <row r="152">
      <c r="A152" s="18">
        <f>IF(F152&lt;&gt;"",ROW()-4,"")</f>
        <v/>
      </c>
      <c r="B152" s="15" t="n"/>
      <c r="C152" s="4" t="n"/>
      <c r="D152" s="4" t="n"/>
      <c r="E152" s="4" t="n"/>
      <c r="F152" s="16" t="n"/>
      <c r="G152" s="4" t="n"/>
      <c r="H152" s="4" t="n"/>
      <c r="I152" s="4" t="n"/>
      <c r="J152" s="4" t="n"/>
    </row>
    <row r="153">
      <c r="A153" s="14">
        <f>IF(F153&lt;&gt;"",ROW()-4,"")</f>
        <v/>
      </c>
      <c r="B153" s="15" t="n"/>
      <c r="C153" s="4" t="n"/>
      <c r="D153" s="4" t="n"/>
      <c r="E153" s="4" t="n"/>
      <c r="F153" s="16" t="n"/>
      <c r="G153" s="4" t="n"/>
      <c r="H153" s="4" t="n"/>
      <c r="I153" s="4" t="n"/>
      <c r="J153" s="4" t="n"/>
    </row>
    <row r="154">
      <c r="A154" s="18">
        <f>IF(F154&lt;&gt;"",ROW()-4,"")</f>
        <v/>
      </c>
      <c r="B154" s="15" t="n"/>
      <c r="C154" s="4" t="n"/>
      <c r="D154" s="4" t="n"/>
      <c r="E154" s="4" t="n"/>
      <c r="F154" s="16" t="n"/>
      <c r="G154" s="4" t="n"/>
      <c r="H154" s="4" t="n"/>
      <c r="I154" s="4" t="n"/>
      <c r="J154" s="4" t="n"/>
    </row>
    <row r="155">
      <c r="A155" s="14">
        <f>IF(F155&lt;&gt;"",ROW()-4,"")</f>
        <v/>
      </c>
      <c r="B155" s="15" t="n"/>
      <c r="C155" s="4" t="n"/>
      <c r="D155" s="4" t="n"/>
      <c r="E155" s="4" t="n"/>
      <c r="F155" s="16" t="n"/>
      <c r="G155" s="4" t="n"/>
      <c r="H155" s="4" t="n"/>
      <c r="I155" s="4" t="n"/>
      <c r="J155" s="4" t="n"/>
    </row>
    <row r="156">
      <c r="A156" s="18">
        <f>IF(F156&lt;&gt;"",ROW()-4,"")</f>
        <v/>
      </c>
      <c r="B156" s="15" t="n"/>
      <c r="C156" s="4" t="n"/>
      <c r="D156" s="4" t="n"/>
      <c r="E156" s="4" t="n"/>
      <c r="F156" s="16" t="n"/>
      <c r="G156" s="4" t="n"/>
      <c r="H156" s="4" t="n"/>
      <c r="I156" s="4" t="n"/>
      <c r="J156" s="4" t="n"/>
    </row>
    <row r="157">
      <c r="A157" s="14">
        <f>IF(F157&lt;&gt;"",ROW()-4,"")</f>
        <v/>
      </c>
      <c r="B157" s="15" t="n"/>
      <c r="C157" s="4" t="n"/>
      <c r="D157" s="4" t="n"/>
      <c r="E157" s="4" t="n"/>
      <c r="F157" s="16" t="n"/>
      <c r="G157" s="4" t="n"/>
      <c r="H157" s="4" t="n"/>
      <c r="I157" s="4" t="n"/>
      <c r="J157" s="4" t="n"/>
    </row>
    <row r="158">
      <c r="A158" s="18">
        <f>IF(F158&lt;&gt;"",ROW()-4,"")</f>
        <v/>
      </c>
      <c r="B158" s="15" t="n"/>
      <c r="C158" s="4" t="n"/>
      <c r="D158" s="4" t="n"/>
      <c r="E158" s="4" t="n"/>
      <c r="F158" s="16" t="n"/>
      <c r="G158" s="4" t="n"/>
      <c r="H158" s="4" t="n"/>
      <c r="I158" s="4" t="n"/>
      <c r="J158" s="4" t="n"/>
    </row>
    <row r="159">
      <c r="A159" s="14">
        <f>IF(F159&lt;&gt;"",ROW()-4,"")</f>
        <v/>
      </c>
      <c r="B159" s="15" t="n"/>
      <c r="C159" s="4" t="n"/>
      <c r="D159" s="4" t="n"/>
      <c r="E159" s="4" t="n"/>
      <c r="F159" s="16" t="n"/>
      <c r="G159" s="4" t="n"/>
      <c r="H159" s="4" t="n"/>
      <c r="I159" s="4" t="n"/>
      <c r="J159" s="4" t="n"/>
    </row>
    <row r="160">
      <c r="A160" s="18">
        <f>IF(F160&lt;&gt;"",ROW()-4,"")</f>
        <v/>
      </c>
      <c r="B160" s="15" t="n"/>
      <c r="C160" s="4" t="n"/>
      <c r="D160" s="4" t="n"/>
      <c r="E160" s="4" t="n"/>
      <c r="F160" s="16" t="n"/>
      <c r="G160" s="4" t="n"/>
      <c r="H160" s="4" t="n"/>
      <c r="I160" s="4" t="n"/>
      <c r="J160" s="4" t="n"/>
    </row>
    <row r="161">
      <c r="A161" s="14">
        <f>IF(F161&lt;&gt;"",ROW()-4,"")</f>
        <v/>
      </c>
      <c r="B161" s="15" t="n"/>
      <c r="C161" s="4" t="n"/>
      <c r="D161" s="4" t="n"/>
      <c r="E161" s="4" t="n"/>
      <c r="F161" s="16" t="n"/>
      <c r="G161" s="4" t="n"/>
      <c r="H161" s="4" t="n"/>
      <c r="I161" s="4" t="n"/>
      <c r="J161" s="4" t="n"/>
    </row>
    <row r="162">
      <c r="A162" s="18">
        <f>IF(F162&lt;&gt;"",ROW()-4,"")</f>
        <v/>
      </c>
      <c r="B162" s="15" t="n"/>
      <c r="C162" s="4" t="n"/>
      <c r="D162" s="4" t="n"/>
      <c r="E162" s="4" t="n"/>
      <c r="F162" s="16" t="n"/>
      <c r="G162" s="4" t="n"/>
      <c r="H162" s="4" t="n"/>
      <c r="I162" s="4" t="n"/>
      <c r="J162" s="4" t="n"/>
    </row>
    <row r="163">
      <c r="A163" s="14">
        <f>IF(F163&lt;&gt;"",ROW()-4,"")</f>
        <v/>
      </c>
      <c r="B163" s="15" t="n"/>
      <c r="C163" s="4" t="n"/>
      <c r="D163" s="4" t="n"/>
      <c r="E163" s="4" t="n"/>
      <c r="F163" s="16" t="n"/>
      <c r="G163" s="4" t="n"/>
      <c r="H163" s="4" t="n"/>
      <c r="I163" s="4" t="n"/>
      <c r="J163" s="4" t="n"/>
    </row>
    <row r="164">
      <c r="A164" s="18">
        <f>IF(F164&lt;&gt;"",ROW()-4,"")</f>
        <v/>
      </c>
      <c r="B164" s="15" t="n"/>
      <c r="C164" s="4" t="n"/>
      <c r="D164" s="4" t="n"/>
      <c r="E164" s="4" t="n"/>
      <c r="F164" s="16" t="n"/>
      <c r="G164" s="4" t="n"/>
      <c r="H164" s="4" t="n"/>
      <c r="I164" s="4" t="n"/>
      <c r="J164" s="4" t="n"/>
    </row>
    <row r="165">
      <c r="A165" s="14">
        <f>IF(F165&lt;&gt;"",ROW()-4,"")</f>
        <v/>
      </c>
      <c r="B165" s="15" t="n"/>
      <c r="C165" s="4" t="n"/>
      <c r="D165" s="4" t="n"/>
      <c r="E165" s="4" t="n"/>
      <c r="F165" s="16" t="n"/>
      <c r="G165" s="4" t="n"/>
      <c r="H165" s="4" t="n"/>
      <c r="I165" s="4" t="n"/>
      <c r="J165" s="4" t="n"/>
    </row>
    <row r="166">
      <c r="A166" s="18">
        <f>IF(F166&lt;&gt;"",ROW()-4,"")</f>
        <v/>
      </c>
      <c r="B166" s="15" t="n"/>
      <c r="C166" s="4" t="n"/>
      <c r="D166" s="4" t="n"/>
      <c r="E166" s="4" t="n"/>
      <c r="F166" s="16" t="n"/>
      <c r="G166" s="4" t="n"/>
      <c r="H166" s="4" t="n"/>
      <c r="I166" s="4" t="n"/>
      <c r="J166" s="4" t="n"/>
    </row>
    <row r="167">
      <c r="A167" s="14">
        <f>IF(F167&lt;&gt;"",ROW()-4,"")</f>
        <v/>
      </c>
      <c r="B167" s="15" t="n"/>
      <c r="C167" s="4" t="n"/>
      <c r="D167" s="4" t="n"/>
      <c r="E167" s="4" t="n"/>
      <c r="F167" s="16" t="n"/>
      <c r="G167" s="4" t="n"/>
      <c r="H167" s="4" t="n"/>
      <c r="I167" s="4" t="n"/>
      <c r="J167" s="4" t="n"/>
    </row>
    <row r="168">
      <c r="A168" s="18">
        <f>IF(F168&lt;&gt;"",ROW()-4,"")</f>
        <v/>
      </c>
      <c r="B168" s="15" t="n"/>
      <c r="C168" s="4" t="n"/>
      <c r="D168" s="4" t="n"/>
      <c r="E168" s="4" t="n"/>
      <c r="F168" s="16" t="n"/>
      <c r="G168" s="4" t="n"/>
      <c r="H168" s="4" t="n"/>
      <c r="I168" s="4" t="n"/>
      <c r="J168" s="4" t="n"/>
    </row>
    <row r="169">
      <c r="A169" s="14">
        <f>IF(F169&lt;&gt;"",ROW()-4,"")</f>
        <v/>
      </c>
      <c r="B169" s="15" t="n"/>
      <c r="C169" s="4" t="n"/>
      <c r="D169" s="4" t="n"/>
      <c r="E169" s="4" t="n"/>
      <c r="F169" s="16" t="n"/>
      <c r="G169" s="4" t="n"/>
      <c r="H169" s="4" t="n"/>
      <c r="I169" s="4" t="n"/>
      <c r="J169" s="4" t="n"/>
    </row>
    <row r="170">
      <c r="A170" s="18">
        <f>IF(F170&lt;&gt;"",ROW()-4,"")</f>
        <v/>
      </c>
      <c r="B170" s="15" t="n"/>
      <c r="C170" s="4" t="n"/>
      <c r="D170" s="4" t="n"/>
      <c r="E170" s="4" t="n"/>
      <c r="F170" s="16" t="n"/>
      <c r="G170" s="4" t="n"/>
      <c r="H170" s="4" t="n"/>
      <c r="I170" s="4" t="n"/>
      <c r="J170" s="4" t="n"/>
    </row>
    <row r="171">
      <c r="A171" s="14">
        <f>IF(F171&lt;&gt;"",ROW()-4,"")</f>
        <v/>
      </c>
      <c r="B171" s="15" t="n"/>
      <c r="C171" s="4" t="n"/>
      <c r="D171" s="4" t="n"/>
      <c r="E171" s="4" t="n"/>
      <c r="F171" s="16" t="n"/>
      <c r="G171" s="4" t="n"/>
      <c r="H171" s="4" t="n"/>
      <c r="I171" s="4" t="n"/>
      <c r="J171" s="4" t="n"/>
    </row>
    <row r="172">
      <c r="A172" s="18">
        <f>IF(F172&lt;&gt;"",ROW()-4,"")</f>
        <v/>
      </c>
      <c r="B172" s="15" t="n"/>
      <c r="C172" s="4" t="n"/>
      <c r="D172" s="4" t="n"/>
      <c r="E172" s="4" t="n"/>
      <c r="F172" s="16" t="n"/>
      <c r="G172" s="4" t="n"/>
      <c r="H172" s="4" t="n"/>
      <c r="I172" s="4" t="n"/>
      <c r="J172" s="4" t="n"/>
    </row>
    <row r="173">
      <c r="A173" s="14">
        <f>IF(F173&lt;&gt;"",ROW()-4,"")</f>
        <v/>
      </c>
      <c r="B173" s="15" t="n"/>
      <c r="C173" s="4" t="n"/>
      <c r="D173" s="4" t="n"/>
      <c r="E173" s="4" t="n"/>
      <c r="F173" s="16" t="n"/>
      <c r="G173" s="4" t="n"/>
      <c r="H173" s="4" t="n"/>
      <c r="I173" s="4" t="n"/>
      <c r="J173" s="4" t="n"/>
    </row>
    <row r="174">
      <c r="A174" s="18">
        <f>IF(F174&lt;&gt;"",ROW()-4,"")</f>
        <v/>
      </c>
      <c r="B174" s="15" t="n"/>
      <c r="C174" s="4" t="n"/>
      <c r="D174" s="4" t="n"/>
      <c r="E174" s="4" t="n"/>
      <c r="F174" s="16" t="n"/>
      <c r="G174" s="4" t="n"/>
      <c r="H174" s="4" t="n"/>
      <c r="I174" s="4" t="n"/>
      <c r="J174" s="4" t="n"/>
    </row>
    <row r="175">
      <c r="A175" s="14">
        <f>IF(F175&lt;&gt;"",ROW()-4,"")</f>
        <v/>
      </c>
      <c r="B175" s="15" t="n"/>
      <c r="C175" s="4" t="n"/>
      <c r="D175" s="4" t="n"/>
      <c r="E175" s="4" t="n"/>
      <c r="F175" s="16" t="n"/>
      <c r="G175" s="4" t="n"/>
      <c r="H175" s="4" t="n"/>
      <c r="I175" s="4" t="n"/>
      <c r="J175" s="4" t="n"/>
    </row>
    <row r="176">
      <c r="A176" s="18">
        <f>IF(F176&lt;&gt;"",ROW()-4,"")</f>
        <v/>
      </c>
      <c r="B176" s="15" t="n"/>
      <c r="C176" s="4" t="n"/>
      <c r="D176" s="4" t="n"/>
      <c r="E176" s="4" t="n"/>
      <c r="F176" s="16" t="n"/>
      <c r="G176" s="4" t="n"/>
      <c r="H176" s="4" t="n"/>
      <c r="I176" s="4" t="n"/>
      <c r="J176" s="4" t="n"/>
    </row>
    <row r="177">
      <c r="A177" s="14">
        <f>IF(F177&lt;&gt;"",ROW()-4,"")</f>
        <v/>
      </c>
      <c r="B177" s="15" t="n"/>
      <c r="C177" s="4" t="n"/>
      <c r="D177" s="4" t="n"/>
      <c r="E177" s="4" t="n"/>
      <c r="F177" s="16" t="n"/>
      <c r="G177" s="4" t="n"/>
      <c r="H177" s="4" t="n"/>
      <c r="I177" s="4" t="n"/>
      <c r="J177" s="4" t="n"/>
    </row>
    <row r="178">
      <c r="A178" s="18">
        <f>IF(F178&lt;&gt;"",ROW()-4,"")</f>
        <v/>
      </c>
      <c r="B178" s="15" t="n"/>
      <c r="C178" s="4" t="n"/>
      <c r="D178" s="4" t="n"/>
      <c r="E178" s="4" t="n"/>
      <c r="F178" s="16" t="n"/>
      <c r="G178" s="4" t="n"/>
      <c r="H178" s="4" t="n"/>
      <c r="I178" s="4" t="n"/>
      <c r="J178" s="4" t="n"/>
    </row>
    <row r="179">
      <c r="A179" s="14">
        <f>IF(F179&lt;&gt;"",ROW()-4,"")</f>
        <v/>
      </c>
      <c r="B179" s="15" t="n"/>
      <c r="C179" s="4" t="n"/>
      <c r="D179" s="4" t="n"/>
      <c r="E179" s="4" t="n"/>
      <c r="F179" s="16" t="n"/>
      <c r="G179" s="4" t="n"/>
      <c r="H179" s="4" t="n"/>
      <c r="I179" s="4" t="n"/>
      <c r="J179" s="4" t="n"/>
    </row>
    <row r="180">
      <c r="A180" s="18">
        <f>IF(F180&lt;&gt;"",ROW()-4,"")</f>
        <v/>
      </c>
      <c r="B180" s="15" t="n"/>
      <c r="C180" s="4" t="n"/>
      <c r="D180" s="4" t="n"/>
      <c r="E180" s="4" t="n"/>
      <c r="F180" s="16" t="n"/>
      <c r="G180" s="4" t="n"/>
      <c r="H180" s="4" t="n"/>
      <c r="I180" s="4" t="n"/>
      <c r="J180" s="4" t="n"/>
    </row>
    <row r="181">
      <c r="A181" s="14">
        <f>IF(F181&lt;&gt;"",ROW()-4,"")</f>
        <v/>
      </c>
      <c r="B181" s="15" t="n"/>
      <c r="C181" s="4" t="n"/>
      <c r="D181" s="4" t="n"/>
      <c r="E181" s="4" t="n"/>
      <c r="F181" s="16" t="n"/>
      <c r="G181" s="4" t="n"/>
      <c r="H181" s="4" t="n"/>
      <c r="I181" s="4" t="n"/>
      <c r="J181" s="4" t="n"/>
    </row>
    <row r="182">
      <c r="A182" s="18">
        <f>IF(F182&lt;&gt;"",ROW()-4,"")</f>
        <v/>
      </c>
      <c r="B182" s="15" t="n"/>
      <c r="C182" s="4" t="n"/>
      <c r="D182" s="4" t="n"/>
      <c r="E182" s="4" t="n"/>
      <c r="F182" s="16" t="n"/>
      <c r="G182" s="4" t="n"/>
      <c r="H182" s="4" t="n"/>
      <c r="I182" s="4" t="n"/>
      <c r="J182" s="4" t="n"/>
    </row>
    <row r="183">
      <c r="A183" s="14">
        <f>IF(F183&lt;&gt;"",ROW()-4,"")</f>
        <v/>
      </c>
      <c r="B183" s="15" t="n"/>
      <c r="C183" s="4" t="n"/>
      <c r="D183" s="4" t="n"/>
      <c r="E183" s="4" t="n"/>
      <c r="F183" s="16" t="n"/>
      <c r="G183" s="4" t="n"/>
      <c r="H183" s="4" t="n"/>
      <c r="I183" s="4" t="n"/>
      <c r="J183" s="4" t="n"/>
    </row>
    <row r="184">
      <c r="A184" s="18">
        <f>IF(F184&lt;&gt;"",ROW()-4,"")</f>
        <v/>
      </c>
      <c r="B184" s="15" t="n"/>
      <c r="C184" s="4" t="n"/>
      <c r="D184" s="4" t="n"/>
      <c r="E184" s="4" t="n"/>
      <c r="F184" s="16" t="n"/>
      <c r="G184" s="4" t="n"/>
      <c r="H184" s="4" t="n"/>
      <c r="I184" s="4" t="n"/>
      <c r="J184" s="4" t="n"/>
    </row>
    <row r="185">
      <c r="A185" s="14">
        <f>IF(F185&lt;&gt;"",ROW()-4,"")</f>
        <v/>
      </c>
      <c r="B185" s="15" t="n"/>
      <c r="C185" s="4" t="n"/>
      <c r="D185" s="4" t="n"/>
      <c r="E185" s="4" t="n"/>
      <c r="F185" s="16" t="n"/>
      <c r="G185" s="4" t="n"/>
      <c r="H185" s="4" t="n"/>
      <c r="I185" s="4" t="n"/>
      <c r="J185" s="4" t="n"/>
    </row>
    <row r="186">
      <c r="A186" s="18">
        <f>IF(F186&lt;&gt;"",ROW()-4,"")</f>
        <v/>
      </c>
      <c r="B186" s="15" t="n"/>
      <c r="C186" s="4" t="n"/>
      <c r="D186" s="4" t="n"/>
      <c r="E186" s="4" t="n"/>
      <c r="F186" s="16" t="n"/>
      <c r="G186" s="4" t="n"/>
      <c r="H186" s="4" t="n"/>
      <c r="I186" s="4" t="n"/>
      <c r="J186" s="4" t="n"/>
    </row>
    <row r="187">
      <c r="A187" s="14">
        <f>IF(F187&lt;&gt;"",ROW()-4,"")</f>
        <v/>
      </c>
      <c r="B187" s="15" t="n"/>
      <c r="C187" s="4" t="n"/>
      <c r="D187" s="4" t="n"/>
      <c r="E187" s="4" t="n"/>
      <c r="F187" s="16" t="n"/>
      <c r="G187" s="4" t="n"/>
      <c r="H187" s="4" t="n"/>
      <c r="I187" s="4" t="n"/>
      <c r="J187" s="4" t="n"/>
    </row>
    <row r="188">
      <c r="A188" s="18">
        <f>IF(F188&lt;&gt;"",ROW()-4,"")</f>
        <v/>
      </c>
      <c r="B188" s="15" t="n"/>
      <c r="C188" s="4" t="n"/>
      <c r="D188" s="4" t="n"/>
      <c r="E188" s="4" t="n"/>
      <c r="F188" s="16" t="n"/>
      <c r="G188" s="4" t="n"/>
      <c r="H188" s="4" t="n"/>
      <c r="I188" s="4" t="n"/>
      <c r="J188" s="4" t="n"/>
    </row>
    <row r="189">
      <c r="A189" s="14">
        <f>IF(F189&lt;&gt;"",ROW()-4,"")</f>
        <v/>
      </c>
      <c r="B189" s="15" t="n"/>
      <c r="C189" s="4" t="n"/>
      <c r="D189" s="4" t="n"/>
      <c r="E189" s="4" t="n"/>
      <c r="F189" s="16" t="n"/>
      <c r="G189" s="4" t="n"/>
      <c r="H189" s="4" t="n"/>
      <c r="I189" s="4" t="n"/>
      <c r="J189" s="4" t="n"/>
    </row>
    <row r="190">
      <c r="A190" s="18">
        <f>IF(F190&lt;&gt;"",ROW()-4,"")</f>
        <v/>
      </c>
      <c r="B190" s="15" t="n"/>
      <c r="C190" s="4" t="n"/>
      <c r="D190" s="4" t="n"/>
      <c r="E190" s="4" t="n"/>
      <c r="F190" s="16" t="n"/>
      <c r="G190" s="4" t="n"/>
      <c r="H190" s="4" t="n"/>
      <c r="I190" s="4" t="n"/>
      <c r="J190" s="4" t="n"/>
    </row>
    <row r="191">
      <c r="A191" s="14">
        <f>IF(F191&lt;&gt;"",ROW()-4,"")</f>
        <v/>
      </c>
      <c r="B191" s="15" t="n"/>
      <c r="C191" s="4" t="n"/>
      <c r="D191" s="4" t="n"/>
      <c r="E191" s="4" t="n"/>
      <c r="F191" s="16" t="n"/>
      <c r="G191" s="4" t="n"/>
      <c r="H191" s="4" t="n"/>
      <c r="I191" s="4" t="n"/>
      <c r="J191" s="4" t="n"/>
    </row>
    <row r="192">
      <c r="A192" s="18">
        <f>IF(F192&lt;&gt;"",ROW()-4,"")</f>
        <v/>
      </c>
      <c r="B192" s="15" t="n"/>
      <c r="C192" s="4" t="n"/>
      <c r="D192" s="4" t="n"/>
      <c r="E192" s="4" t="n"/>
      <c r="F192" s="16" t="n"/>
      <c r="G192" s="4" t="n"/>
      <c r="H192" s="4" t="n"/>
      <c r="I192" s="4" t="n"/>
      <c r="J192" s="4" t="n"/>
    </row>
    <row r="193">
      <c r="A193" s="14">
        <f>IF(F193&lt;&gt;"",ROW()-4,"")</f>
        <v/>
      </c>
      <c r="B193" s="15" t="n"/>
      <c r="C193" s="4" t="n"/>
      <c r="D193" s="4" t="n"/>
      <c r="E193" s="4" t="n"/>
      <c r="F193" s="16" t="n"/>
      <c r="G193" s="4" t="n"/>
      <c r="H193" s="4" t="n"/>
      <c r="I193" s="4" t="n"/>
      <c r="J193" s="4" t="n"/>
    </row>
    <row r="194">
      <c r="A194" s="18">
        <f>IF(F194&lt;&gt;"",ROW()-4,"")</f>
        <v/>
      </c>
      <c r="B194" s="15" t="n"/>
      <c r="C194" s="4" t="n"/>
      <c r="D194" s="4" t="n"/>
      <c r="E194" s="4" t="n"/>
      <c r="F194" s="16" t="n"/>
      <c r="G194" s="4" t="n"/>
      <c r="H194" s="4" t="n"/>
      <c r="I194" s="4" t="n"/>
      <c r="J194" s="4" t="n"/>
    </row>
    <row r="195">
      <c r="A195" s="14">
        <f>IF(F195&lt;&gt;"",ROW()-4,"")</f>
        <v/>
      </c>
      <c r="B195" s="15" t="n"/>
      <c r="C195" s="4" t="n"/>
      <c r="D195" s="4" t="n"/>
      <c r="E195" s="4" t="n"/>
      <c r="F195" s="16" t="n"/>
      <c r="G195" s="4" t="n"/>
      <c r="H195" s="4" t="n"/>
      <c r="I195" s="4" t="n"/>
      <c r="J195" s="4" t="n"/>
    </row>
    <row r="196">
      <c r="A196" s="18">
        <f>IF(F196&lt;&gt;"",ROW()-4,"")</f>
        <v/>
      </c>
      <c r="B196" s="15" t="n"/>
      <c r="C196" s="4" t="n"/>
      <c r="D196" s="4" t="n"/>
      <c r="E196" s="4" t="n"/>
      <c r="F196" s="16" t="n"/>
      <c r="G196" s="4" t="n"/>
      <c r="H196" s="4" t="n"/>
      <c r="I196" s="4" t="n"/>
      <c r="J196" s="4" t="n"/>
    </row>
    <row r="197">
      <c r="A197" s="14">
        <f>IF(F197&lt;&gt;"",ROW()-4,"")</f>
        <v/>
      </c>
      <c r="B197" s="15" t="n"/>
      <c r="C197" s="4" t="n"/>
      <c r="D197" s="4" t="n"/>
      <c r="E197" s="4" t="n"/>
      <c r="F197" s="16" t="n"/>
      <c r="G197" s="4" t="n"/>
      <c r="H197" s="4" t="n"/>
      <c r="I197" s="4" t="n"/>
      <c r="J197" s="4" t="n"/>
    </row>
    <row r="198">
      <c r="A198" s="18">
        <f>IF(F198&lt;&gt;"",ROW()-4,"")</f>
        <v/>
      </c>
      <c r="B198" s="15" t="n"/>
      <c r="C198" s="4" t="n"/>
      <c r="D198" s="4" t="n"/>
      <c r="E198" s="4" t="n"/>
      <c r="F198" s="16" t="n"/>
      <c r="G198" s="4" t="n"/>
      <c r="H198" s="4" t="n"/>
      <c r="I198" s="4" t="n"/>
      <c r="J198" s="4" t="n"/>
    </row>
    <row r="199">
      <c r="A199" s="14">
        <f>IF(F199&lt;&gt;"",ROW()-4,"")</f>
        <v/>
      </c>
      <c r="B199" s="15" t="n"/>
      <c r="C199" s="4" t="n"/>
      <c r="D199" s="4" t="n"/>
      <c r="E199" s="4" t="n"/>
      <c r="F199" s="16" t="n"/>
      <c r="G199" s="4" t="n"/>
      <c r="H199" s="4" t="n"/>
      <c r="I199" s="4" t="n"/>
      <c r="J199" s="4" t="n"/>
    </row>
    <row r="200">
      <c r="A200" s="18">
        <f>IF(F200&lt;&gt;"",ROW()-4,"")</f>
        <v/>
      </c>
      <c r="B200" s="15" t="n"/>
      <c r="C200" s="4" t="n"/>
      <c r="D200" s="4" t="n"/>
      <c r="E200" s="4" t="n"/>
      <c r="F200" s="16" t="n"/>
      <c r="G200" s="4" t="n"/>
      <c r="H200" s="4" t="n"/>
      <c r="I200" s="4" t="n"/>
      <c r="J200" s="4" t="n"/>
    </row>
    <row r="201">
      <c r="A201" s="14">
        <f>IF(F201&lt;&gt;"",ROW()-4,"")</f>
        <v/>
      </c>
      <c r="B201" s="15" t="n"/>
      <c r="C201" s="4" t="n"/>
      <c r="D201" s="4" t="n"/>
      <c r="E201" s="4" t="n"/>
      <c r="F201" s="16" t="n"/>
      <c r="G201" s="4" t="n"/>
      <c r="H201" s="4" t="n"/>
      <c r="I201" s="4" t="n"/>
      <c r="J201" s="4" t="n"/>
    </row>
    <row r="202">
      <c r="A202" s="18">
        <f>IF(F202&lt;&gt;"",ROW()-4,"")</f>
        <v/>
      </c>
      <c r="B202" s="15" t="n"/>
      <c r="C202" s="4" t="n"/>
      <c r="D202" s="4" t="n"/>
      <c r="E202" s="4" t="n"/>
      <c r="F202" s="16" t="n"/>
      <c r="G202" s="4" t="n"/>
      <c r="H202" s="4" t="n"/>
      <c r="I202" s="4" t="n"/>
      <c r="J202" s="4" t="n"/>
    </row>
    <row r="203">
      <c r="A203" s="14">
        <f>IF(F203&lt;&gt;"",ROW()-4,"")</f>
        <v/>
      </c>
      <c r="B203" s="15" t="n"/>
      <c r="C203" s="4" t="n"/>
      <c r="D203" s="4" t="n"/>
      <c r="E203" s="4" t="n"/>
      <c r="F203" s="16" t="n"/>
      <c r="G203" s="4" t="n"/>
      <c r="H203" s="4" t="n"/>
      <c r="I203" s="4" t="n"/>
      <c r="J203" s="4" t="n"/>
    </row>
    <row r="204">
      <c r="A204" s="18">
        <f>IF(F204&lt;&gt;"",ROW()-4,"")</f>
        <v/>
      </c>
      <c r="B204" s="15" t="n"/>
      <c r="C204" s="4" t="n"/>
      <c r="D204" s="4" t="n"/>
      <c r="E204" s="4" t="n"/>
      <c r="F204" s="16" t="n"/>
      <c r="G204" s="4" t="n"/>
      <c r="H204" s="4" t="n"/>
      <c r="I204" s="4" t="n"/>
      <c r="J204" s="4" t="n"/>
    </row>
    <row r="205">
      <c r="A205" s="14">
        <f>IF(F205&lt;&gt;"",ROW()-4,"")</f>
        <v/>
      </c>
      <c r="B205" s="15" t="n"/>
      <c r="C205" s="4" t="n"/>
      <c r="D205" s="4" t="n"/>
      <c r="E205" s="4" t="n"/>
      <c r="F205" s="16" t="n"/>
      <c r="G205" s="4" t="n"/>
      <c r="H205" s="4" t="n"/>
      <c r="I205" s="4" t="n"/>
      <c r="J205" s="4" t="n"/>
    </row>
    <row r="206">
      <c r="A206" s="18">
        <f>IF(F206&lt;&gt;"",ROW()-4,"")</f>
        <v/>
      </c>
      <c r="B206" s="15" t="n"/>
      <c r="C206" s="4" t="n"/>
      <c r="D206" s="4" t="n"/>
      <c r="E206" s="4" t="n"/>
      <c r="F206" s="16" t="n"/>
      <c r="G206" s="4" t="n"/>
      <c r="H206" s="4" t="n"/>
      <c r="I206" s="4" t="n"/>
      <c r="J206" s="4" t="n"/>
    </row>
    <row r="207">
      <c r="A207" s="14">
        <f>IF(F207&lt;&gt;"",ROW()-4,"")</f>
        <v/>
      </c>
      <c r="B207" s="15" t="n"/>
      <c r="C207" s="4" t="n"/>
      <c r="D207" s="4" t="n"/>
      <c r="E207" s="4" t="n"/>
      <c r="F207" s="16" t="n"/>
      <c r="G207" s="4" t="n"/>
      <c r="H207" s="4" t="n"/>
      <c r="I207" s="4" t="n"/>
      <c r="J207" s="4" t="n"/>
    </row>
    <row r="208">
      <c r="A208" s="18">
        <f>IF(F208&lt;&gt;"",ROW()-4,"")</f>
        <v/>
      </c>
      <c r="B208" s="15" t="n"/>
      <c r="C208" s="4" t="n"/>
      <c r="D208" s="4" t="n"/>
      <c r="E208" s="4" t="n"/>
      <c r="F208" s="16" t="n"/>
      <c r="G208" s="4" t="n"/>
      <c r="H208" s="4" t="n"/>
      <c r="I208" s="4" t="n"/>
      <c r="J208" s="4" t="n"/>
    </row>
    <row r="209">
      <c r="A209" s="14">
        <f>IF(F209&lt;&gt;"",ROW()-4,"")</f>
        <v/>
      </c>
      <c r="B209" s="15" t="n"/>
      <c r="C209" s="4" t="n"/>
      <c r="D209" s="4" t="n"/>
      <c r="E209" s="4" t="n"/>
      <c r="F209" s="16" t="n"/>
      <c r="G209" s="4" t="n"/>
      <c r="H209" s="4" t="n"/>
      <c r="I209" s="4" t="n"/>
      <c r="J209" s="4" t="n"/>
    </row>
    <row r="210">
      <c r="A210" s="18">
        <f>IF(F210&lt;&gt;"",ROW()-4,"")</f>
        <v/>
      </c>
      <c r="B210" s="15" t="n"/>
      <c r="C210" s="4" t="n"/>
      <c r="D210" s="4" t="n"/>
      <c r="E210" s="4" t="n"/>
      <c r="F210" s="16" t="n"/>
      <c r="G210" s="4" t="n"/>
      <c r="H210" s="4" t="n"/>
      <c r="I210" s="4" t="n"/>
      <c r="J210" s="4" t="n"/>
    </row>
    <row r="211">
      <c r="A211" s="14">
        <f>IF(F211&lt;&gt;"",ROW()-4,"")</f>
        <v/>
      </c>
      <c r="B211" s="15" t="n"/>
      <c r="C211" s="4" t="n"/>
      <c r="D211" s="4" t="n"/>
      <c r="E211" s="4" t="n"/>
      <c r="F211" s="16" t="n"/>
      <c r="G211" s="4" t="n"/>
      <c r="H211" s="4" t="n"/>
      <c r="I211" s="4" t="n"/>
      <c r="J211" s="4" t="n"/>
    </row>
    <row r="212">
      <c r="A212" s="18">
        <f>IF(F212&lt;&gt;"",ROW()-4,"")</f>
        <v/>
      </c>
      <c r="B212" s="15" t="n"/>
      <c r="C212" s="4" t="n"/>
      <c r="D212" s="4" t="n"/>
      <c r="E212" s="4" t="n"/>
      <c r="F212" s="16" t="n"/>
      <c r="G212" s="4" t="n"/>
      <c r="H212" s="4" t="n"/>
      <c r="I212" s="4" t="n"/>
      <c r="J212" s="4" t="n"/>
    </row>
    <row r="213">
      <c r="A213" s="14">
        <f>IF(F213&lt;&gt;"",ROW()-4,"")</f>
        <v/>
      </c>
      <c r="B213" s="15" t="n"/>
      <c r="C213" s="4" t="n"/>
      <c r="D213" s="4" t="n"/>
      <c r="E213" s="4" t="n"/>
      <c r="F213" s="16" t="n"/>
      <c r="G213" s="4" t="n"/>
      <c r="H213" s="4" t="n"/>
      <c r="I213" s="4" t="n"/>
      <c r="J213" s="4" t="n"/>
    </row>
    <row r="214">
      <c r="A214" s="18">
        <f>IF(F214&lt;&gt;"",ROW()-4,"")</f>
        <v/>
      </c>
      <c r="B214" s="15" t="n"/>
      <c r="C214" s="4" t="n"/>
      <c r="D214" s="4" t="n"/>
      <c r="E214" s="4" t="n"/>
      <c r="F214" s="16" t="n"/>
      <c r="G214" s="4" t="n"/>
      <c r="H214" s="4" t="n"/>
      <c r="I214" s="4" t="n"/>
      <c r="J214" s="4" t="n"/>
    </row>
    <row r="215">
      <c r="A215" s="14">
        <f>IF(F215&lt;&gt;"",ROW()-4,"")</f>
        <v/>
      </c>
      <c r="B215" s="15" t="n"/>
      <c r="C215" s="4" t="n"/>
      <c r="D215" s="4" t="n"/>
      <c r="E215" s="4" t="n"/>
      <c r="F215" s="16" t="n"/>
      <c r="G215" s="4" t="n"/>
      <c r="H215" s="4" t="n"/>
      <c r="I215" s="4" t="n"/>
      <c r="J215" s="4" t="n"/>
    </row>
    <row r="216">
      <c r="A216" s="18">
        <f>IF(F216&lt;&gt;"",ROW()-4,"")</f>
        <v/>
      </c>
      <c r="B216" s="15" t="n"/>
      <c r="C216" s="4" t="n"/>
      <c r="D216" s="4" t="n"/>
      <c r="E216" s="4" t="n"/>
      <c r="F216" s="16" t="n"/>
      <c r="G216" s="4" t="n"/>
      <c r="H216" s="4" t="n"/>
      <c r="I216" s="4" t="n"/>
      <c r="J216" s="4" t="n"/>
    </row>
    <row r="217">
      <c r="A217" s="14">
        <f>IF(F217&lt;&gt;"",ROW()-4,"")</f>
        <v/>
      </c>
      <c r="B217" s="15" t="n"/>
      <c r="C217" s="4" t="n"/>
      <c r="D217" s="4" t="n"/>
      <c r="E217" s="4" t="n"/>
      <c r="F217" s="16" t="n"/>
      <c r="G217" s="4" t="n"/>
      <c r="H217" s="4" t="n"/>
      <c r="I217" s="4" t="n"/>
      <c r="J217" s="4" t="n"/>
    </row>
    <row r="218">
      <c r="A218" s="18">
        <f>IF(F218&lt;&gt;"",ROW()-4,"")</f>
        <v/>
      </c>
      <c r="B218" s="15" t="n"/>
      <c r="C218" s="4" t="n"/>
      <c r="D218" s="4" t="n"/>
      <c r="E218" s="4" t="n"/>
      <c r="F218" s="16" t="n"/>
      <c r="G218" s="4" t="n"/>
      <c r="H218" s="4" t="n"/>
      <c r="I218" s="4" t="n"/>
      <c r="J218" s="4" t="n"/>
    </row>
    <row r="219">
      <c r="A219" s="14">
        <f>IF(F219&lt;&gt;"",ROW()-4,"")</f>
        <v/>
      </c>
      <c r="B219" s="15" t="n"/>
      <c r="C219" s="4" t="n"/>
      <c r="D219" s="4" t="n"/>
      <c r="E219" s="4" t="n"/>
      <c r="F219" s="16" t="n"/>
      <c r="G219" s="4" t="n"/>
      <c r="H219" s="4" t="n"/>
      <c r="I219" s="4" t="n"/>
      <c r="J219" s="4" t="n"/>
    </row>
    <row r="220">
      <c r="A220" s="18">
        <f>IF(F220&lt;&gt;"",ROW()-4,"")</f>
        <v/>
      </c>
      <c r="B220" s="15" t="n"/>
      <c r="C220" s="4" t="n"/>
      <c r="D220" s="4" t="n"/>
      <c r="E220" s="4" t="n"/>
      <c r="F220" s="16" t="n"/>
      <c r="G220" s="4" t="n"/>
      <c r="H220" s="4" t="n"/>
      <c r="I220" s="4" t="n"/>
      <c r="J220" s="4" t="n"/>
    </row>
    <row r="221">
      <c r="A221" s="14">
        <f>IF(F221&lt;&gt;"",ROW()-4,"")</f>
        <v/>
      </c>
      <c r="B221" s="15" t="n"/>
      <c r="C221" s="4" t="n"/>
      <c r="D221" s="4" t="n"/>
      <c r="E221" s="4" t="n"/>
      <c r="F221" s="16" t="n"/>
      <c r="G221" s="4" t="n"/>
      <c r="H221" s="4" t="n"/>
      <c r="I221" s="4" t="n"/>
      <c r="J221" s="4" t="n"/>
    </row>
    <row r="222">
      <c r="A222" s="18">
        <f>IF(F222&lt;&gt;"",ROW()-4,"")</f>
        <v/>
      </c>
      <c r="B222" s="15" t="n"/>
      <c r="C222" s="4" t="n"/>
      <c r="D222" s="4" t="n"/>
      <c r="E222" s="4" t="n"/>
      <c r="F222" s="16" t="n"/>
      <c r="G222" s="4" t="n"/>
      <c r="H222" s="4" t="n"/>
      <c r="I222" s="4" t="n"/>
      <c r="J222" s="4" t="n"/>
    </row>
    <row r="223">
      <c r="A223" s="14">
        <f>IF(F223&lt;&gt;"",ROW()-4,"")</f>
        <v/>
      </c>
      <c r="B223" s="15" t="n"/>
      <c r="C223" s="4" t="n"/>
      <c r="D223" s="4" t="n"/>
      <c r="E223" s="4" t="n"/>
      <c r="F223" s="16" t="n"/>
      <c r="G223" s="4" t="n"/>
      <c r="H223" s="4" t="n"/>
      <c r="I223" s="4" t="n"/>
      <c r="J223" s="4" t="n"/>
    </row>
    <row r="224">
      <c r="A224" s="18">
        <f>IF(F224&lt;&gt;"",ROW()-4,"")</f>
        <v/>
      </c>
      <c r="B224" s="15" t="n"/>
      <c r="C224" s="4" t="n"/>
      <c r="D224" s="4" t="n"/>
      <c r="E224" s="4" t="n"/>
      <c r="F224" s="16" t="n"/>
      <c r="G224" s="4" t="n"/>
      <c r="H224" s="4" t="n"/>
      <c r="I224" s="4" t="n"/>
      <c r="J224" s="4" t="n"/>
    </row>
    <row r="225">
      <c r="A225" s="14">
        <f>IF(F225&lt;&gt;"",ROW()-4,"")</f>
        <v/>
      </c>
      <c r="B225" s="15" t="n"/>
      <c r="C225" s="4" t="n"/>
      <c r="D225" s="4" t="n"/>
      <c r="E225" s="4" t="n"/>
      <c r="F225" s="16" t="n"/>
      <c r="G225" s="4" t="n"/>
      <c r="H225" s="4" t="n"/>
      <c r="I225" s="4" t="n"/>
      <c r="J225" s="4" t="n"/>
    </row>
    <row r="226">
      <c r="A226" s="18">
        <f>IF(F226&lt;&gt;"",ROW()-4,"")</f>
        <v/>
      </c>
      <c r="B226" s="15" t="n"/>
      <c r="C226" s="4" t="n"/>
      <c r="D226" s="4" t="n"/>
      <c r="E226" s="4" t="n"/>
      <c r="F226" s="16" t="n"/>
      <c r="G226" s="4" t="n"/>
      <c r="H226" s="4" t="n"/>
      <c r="I226" s="4" t="n"/>
      <c r="J226" s="4" t="n"/>
    </row>
    <row r="227">
      <c r="A227" s="14">
        <f>IF(F227&lt;&gt;"",ROW()-4,"")</f>
        <v/>
      </c>
      <c r="B227" s="15" t="n"/>
      <c r="C227" s="4" t="n"/>
      <c r="D227" s="4" t="n"/>
      <c r="E227" s="4" t="n"/>
      <c r="F227" s="16" t="n"/>
      <c r="G227" s="4" t="n"/>
      <c r="H227" s="4" t="n"/>
      <c r="I227" s="4" t="n"/>
      <c r="J227" s="4" t="n"/>
    </row>
    <row r="228">
      <c r="A228" s="18">
        <f>IF(F228&lt;&gt;"",ROW()-4,"")</f>
        <v/>
      </c>
      <c r="B228" s="15" t="n"/>
      <c r="C228" s="4" t="n"/>
      <c r="D228" s="4" t="n"/>
      <c r="E228" s="4" t="n"/>
      <c r="F228" s="16" t="n"/>
      <c r="G228" s="4" t="n"/>
      <c r="H228" s="4" t="n"/>
      <c r="I228" s="4" t="n"/>
      <c r="J228" s="4" t="n"/>
    </row>
    <row r="229">
      <c r="A229" s="14">
        <f>IF(F229&lt;&gt;"",ROW()-4,"")</f>
        <v/>
      </c>
      <c r="B229" s="15" t="n"/>
      <c r="C229" s="4" t="n"/>
      <c r="D229" s="4" t="n"/>
      <c r="E229" s="4" t="n"/>
      <c r="F229" s="16" t="n"/>
      <c r="G229" s="4" t="n"/>
      <c r="H229" s="4" t="n"/>
      <c r="I229" s="4" t="n"/>
      <c r="J229" s="4" t="n"/>
    </row>
    <row r="230">
      <c r="A230" s="18">
        <f>IF(F230&lt;&gt;"",ROW()-4,"")</f>
        <v/>
      </c>
      <c r="B230" s="15" t="n"/>
      <c r="C230" s="4" t="n"/>
      <c r="D230" s="4" t="n"/>
      <c r="E230" s="4" t="n"/>
      <c r="F230" s="16" t="n"/>
      <c r="G230" s="4" t="n"/>
      <c r="H230" s="4" t="n"/>
      <c r="I230" s="4" t="n"/>
      <c r="J230" s="4" t="n"/>
    </row>
    <row r="231">
      <c r="A231" s="14">
        <f>IF(F231&lt;&gt;"",ROW()-4,"")</f>
        <v/>
      </c>
      <c r="B231" s="15" t="n"/>
      <c r="C231" s="4" t="n"/>
      <c r="D231" s="4" t="n"/>
      <c r="E231" s="4" t="n"/>
      <c r="F231" s="16" t="n"/>
      <c r="G231" s="4" t="n"/>
      <c r="H231" s="4" t="n"/>
      <c r="I231" s="4" t="n"/>
      <c r="J231" s="4" t="n"/>
    </row>
    <row r="232">
      <c r="A232" s="18">
        <f>IF(F232&lt;&gt;"",ROW()-4,"")</f>
        <v/>
      </c>
      <c r="B232" s="15" t="n"/>
      <c r="C232" s="4" t="n"/>
      <c r="D232" s="4" t="n"/>
      <c r="E232" s="4" t="n"/>
      <c r="F232" s="16" t="n"/>
      <c r="G232" s="4" t="n"/>
      <c r="H232" s="4" t="n"/>
      <c r="I232" s="4" t="n"/>
      <c r="J232" s="4" t="n"/>
    </row>
    <row r="233">
      <c r="A233" s="14">
        <f>IF(F233&lt;&gt;"",ROW()-4,"")</f>
        <v/>
      </c>
      <c r="B233" s="15" t="n"/>
      <c r="C233" s="4" t="n"/>
      <c r="D233" s="4" t="n"/>
      <c r="E233" s="4" t="n"/>
      <c r="F233" s="16" t="n"/>
      <c r="G233" s="4" t="n"/>
      <c r="H233" s="4" t="n"/>
      <c r="I233" s="4" t="n"/>
      <c r="J233" s="4" t="n"/>
    </row>
    <row r="234">
      <c r="A234" s="18">
        <f>IF(F234&lt;&gt;"",ROW()-4,"")</f>
        <v/>
      </c>
      <c r="B234" s="15" t="n"/>
      <c r="C234" s="4" t="n"/>
      <c r="D234" s="4" t="n"/>
      <c r="E234" s="4" t="n"/>
      <c r="F234" s="16" t="n"/>
      <c r="G234" s="4" t="n"/>
      <c r="H234" s="4" t="n"/>
      <c r="I234" s="4" t="n"/>
      <c r="J234" s="4" t="n"/>
    </row>
    <row r="235">
      <c r="A235" s="14">
        <f>IF(F235&lt;&gt;"",ROW()-4,"")</f>
        <v/>
      </c>
      <c r="B235" s="15" t="n"/>
      <c r="C235" s="4" t="n"/>
      <c r="D235" s="4" t="n"/>
      <c r="E235" s="4" t="n"/>
      <c r="F235" s="16" t="n"/>
      <c r="G235" s="4" t="n"/>
      <c r="H235" s="4" t="n"/>
      <c r="I235" s="4" t="n"/>
      <c r="J235" s="4" t="n"/>
    </row>
    <row r="236">
      <c r="A236" s="18">
        <f>IF(F236&lt;&gt;"",ROW()-4,"")</f>
        <v/>
      </c>
      <c r="B236" s="15" t="n"/>
      <c r="C236" s="4" t="n"/>
      <c r="D236" s="4" t="n"/>
      <c r="E236" s="4" t="n"/>
      <c r="F236" s="16" t="n"/>
      <c r="G236" s="4" t="n"/>
      <c r="H236" s="4" t="n"/>
      <c r="I236" s="4" t="n"/>
      <c r="J236" s="4" t="n"/>
    </row>
    <row r="237">
      <c r="A237" s="14">
        <f>IF(F237&lt;&gt;"",ROW()-4,"")</f>
        <v/>
      </c>
      <c r="B237" s="15" t="n"/>
      <c r="C237" s="4" t="n"/>
      <c r="D237" s="4" t="n"/>
      <c r="E237" s="4" t="n"/>
      <c r="F237" s="16" t="n"/>
      <c r="G237" s="4" t="n"/>
      <c r="H237" s="4" t="n"/>
      <c r="I237" s="4" t="n"/>
      <c r="J237" s="4" t="n"/>
    </row>
    <row r="238">
      <c r="A238" s="18">
        <f>IF(F238&lt;&gt;"",ROW()-4,"")</f>
        <v/>
      </c>
      <c r="B238" s="15" t="n"/>
      <c r="C238" s="4" t="n"/>
      <c r="D238" s="4" t="n"/>
      <c r="E238" s="4" t="n"/>
      <c r="F238" s="16" t="n"/>
      <c r="G238" s="4" t="n"/>
      <c r="H238" s="4" t="n"/>
      <c r="I238" s="4" t="n"/>
      <c r="J238" s="4" t="n"/>
    </row>
    <row r="239">
      <c r="A239" s="14">
        <f>IF(F239&lt;&gt;"",ROW()-4,"")</f>
        <v/>
      </c>
      <c r="B239" s="15" t="n"/>
      <c r="C239" s="4" t="n"/>
      <c r="D239" s="4" t="n"/>
      <c r="E239" s="4" t="n"/>
      <c r="F239" s="16" t="n"/>
      <c r="G239" s="4" t="n"/>
      <c r="H239" s="4" t="n"/>
      <c r="I239" s="4" t="n"/>
      <c r="J239" s="4" t="n"/>
    </row>
    <row r="240">
      <c r="A240" s="18">
        <f>IF(F240&lt;&gt;"",ROW()-4,"")</f>
        <v/>
      </c>
      <c r="B240" s="15" t="n"/>
      <c r="C240" s="4" t="n"/>
      <c r="D240" s="4" t="n"/>
      <c r="E240" s="4" t="n"/>
      <c r="F240" s="16" t="n"/>
      <c r="G240" s="4" t="n"/>
      <c r="H240" s="4" t="n"/>
      <c r="I240" s="4" t="n"/>
      <c r="J240" s="4" t="n"/>
    </row>
    <row r="241">
      <c r="A241" s="14">
        <f>IF(F241&lt;&gt;"",ROW()-4,"")</f>
        <v/>
      </c>
      <c r="B241" s="15" t="n"/>
      <c r="C241" s="4" t="n"/>
      <c r="D241" s="4" t="n"/>
      <c r="E241" s="4" t="n"/>
      <c r="F241" s="16" t="n"/>
      <c r="G241" s="4" t="n"/>
      <c r="H241" s="4" t="n"/>
      <c r="I241" s="4" t="n"/>
      <c r="J241" s="4" t="n"/>
    </row>
    <row r="242">
      <c r="A242" s="18">
        <f>IF(F242&lt;&gt;"",ROW()-4,"")</f>
        <v/>
      </c>
      <c r="B242" s="15" t="n"/>
      <c r="C242" s="4" t="n"/>
      <c r="D242" s="4" t="n"/>
      <c r="E242" s="4" t="n"/>
      <c r="F242" s="16" t="n"/>
      <c r="G242" s="4" t="n"/>
      <c r="H242" s="4" t="n"/>
      <c r="I242" s="4" t="n"/>
      <c r="J242" s="4" t="n"/>
    </row>
    <row r="243">
      <c r="A243" s="14">
        <f>IF(F243&lt;&gt;"",ROW()-4,"")</f>
        <v/>
      </c>
      <c r="B243" s="15" t="n"/>
      <c r="C243" s="4" t="n"/>
      <c r="D243" s="4" t="n"/>
      <c r="E243" s="4" t="n"/>
      <c r="F243" s="16" t="n"/>
      <c r="G243" s="4" t="n"/>
      <c r="H243" s="4" t="n"/>
      <c r="I243" s="4" t="n"/>
      <c r="J243" s="4" t="n"/>
    </row>
    <row r="244">
      <c r="A244" s="18">
        <f>IF(F244&lt;&gt;"",ROW()-4,"")</f>
        <v/>
      </c>
      <c r="B244" s="15" t="n"/>
      <c r="C244" s="4" t="n"/>
      <c r="D244" s="4" t="n"/>
      <c r="E244" s="4" t="n"/>
      <c r="F244" s="16" t="n"/>
      <c r="G244" s="4" t="n"/>
      <c r="H244" s="4" t="n"/>
      <c r="I244" s="4" t="n"/>
      <c r="J244" s="4" t="n"/>
    </row>
    <row r="245">
      <c r="A245" s="14">
        <f>IF(F245&lt;&gt;"",ROW()-4,"")</f>
        <v/>
      </c>
      <c r="B245" s="15" t="n"/>
      <c r="C245" s="4" t="n"/>
      <c r="D245" s="4" t="n"/>
      <c r="E245" s="4" t="n"/>
      <c r="F245" s="16" t="n"/>
      <c r="G245" s="4" t="n"/>
      <c r="H245" s="4" t="n"/>
      <c r="I245" s="4" t="n"/>
      <c r="J245" s="4" t="n"/>
    </row>
    <row r="246">
      <c r="A246" s="18">
        <f>IF(F246&lt;&gt;"",ROW()-4,"")</f>
        <v/>
      </c>
      <c r="B246" s="15" t="n"/>
      <c r="C246" s="4" t="n"/>
      <c r="D246" s="4" t="n"/>
      <c r="E246" s="4" t="n"/>
      <c r="F246" s="16" t="n"/>
      <c r="G246" s="4" t="n"/>
      <c r="H246" s="4" t="n"/>
      <c r="I246" s="4" t="n"/>
      <c r="J246" s="4" t="n"/>
    </row>
    <row r="247">
      <c r="A247" s="14">
        <f>IF(F247&lt;&gt;"",ROW()-4,"")</f>
        <v/>
      </c>
      <c r="B247" s="15" t="n"/>
      <c r="C247" s="4" t="n"/>
      <c r="D247" s="4" t="n"/>
      <c r="E247" s="4" t="n"/>
      <c r="F247" s="16" t="n"/>
      <c r="G247" s="4" t="n"/>
      <c r="H247" s="4" t="n"/>
      <c r="I247" s="4" t="n"/>
      <c r="J247" s="4" t="n"/>
    </row>
    <row r="248">
      <c r="A248" s="18">
        <f>IF(F248&lt;&gt;"",ROW()-4,"")</f>
        <v/>
      </c>
      <c r="B248" s="15" t="n"/>
      <c r="C248" s="4" t="n"/>
      <c r="D248" s="4" t="n"/>
      <c r="E248" s="4" t="n"/>
      <c r="F248" s="16" t="n"/>
      <c r="G248" s="4" t="n"/>
      <c r="H248" s="4" t="n"/>
      <c r="I248" s="4" t="n"/>
      <c r="J248" s="4" t="n"/>
    </row>
    <row r="249">
      <c r="A249" s="14">
        <f>IF(F249&lt;&gt;"",ROW()-4,"")</f>
        <v/>
      </c>
      <c r="B249" s="15" t="n"/>
      <c r="C249" s="4" t="n"/>
      <c r="D249" s="4" t="n"/>
      <c r="E249" s="4" t="n"/>
      <c r="F249" s="16" t="n"/>
      <c r="G249" s="4" t="n"/>
      <c r="H249" s="4" t="n"/>
      <c r="I249" s="4" t="n"/>
      <c r="J249" s="4" t="n"/>
    </row>
    <row r="250">
      <c r="A250" s="18">
        <f>IF(F250&lt;&gt;"",ROW()-4,"")</f>
        <v/>
      </c>
      <c r="B250" s="15" t="n"/>
      <c r="C250" s="4" t="n"/>
      <c r="D250" s="4" t="n"/>
      <c r="E250" s="4" t="n"/>
      <c r="F250" s="16" t="n"/>
      <c r="G250" s="4" t="n"/>
      <c r="H250" s="4" t="n"/>
      <c r="I250" s="4" t="n"/>
      <c r="J250" s="4" t="n"/>
    </row>
    <row r="251">
      <c r="A251" s="14">
        <f>IF(F251&lt;&gt;"",ROW()-4,"")</f>
        <v/>
      </c>
      <c r="B251" s="15" t="n"/>
      <c r="C251" s="4" t="n"/>
      <c r="D251" s="4" t="n"/>
      <c r="E251" s="4" t="n"/>
      <c r="F251" s="16" t="n"/>
      <c r="G251" s="4" t="n"/>
      <c r="H251" s="4" t="n"/>
      <c r="I251" s="4" t="n"/>
      <c r="J251" s="4" t="n"/>
    </row>
    <row r="252">
      <c r="A252" s="18">
        <f>IF(F252&lt;&gt;"",ROW()-4,"")</f>
        <v/>
      </c>
      <c r="B252" s="15" t="n"/>
      <c r="C252" s="4" t="n"/>
      <c r="D252" s="4" t="n"/>
      <c r="E252" s="4" t="n"/>
      <c r="F252" s="16" t="n"/>
      <c r="G252" s="4" t="n"/>
      <c r="H252" s="4" t="n"/>
      <c r="I252" s="4" t="n"/>
      <c r="J252" s="4" t="n"/>
    </row>
    <row r="253">
      <c r="A253" s="14">
        <f>IF(F253&lt;&gt;"",ROW()-4,"")</f>
        <v/>
      </c>
      <c r="B253" s="15" t="n"/>
      <c r="C253" s="4" t="n"/>
      <c r="D253" s="4" t="n"/>
      <c r="E253" s="4" t="n"/>
      <c r="F253" s="16" t="n"/>
      <c r="G253" s="4" t="n"/>
      <c r="H253" s="4" t="n"/>
      <c r="I253" s="4" t="n"/>
      <c r="J253" s="4" t="n"/>
    </row>
    <row r="254">
      <c r="A254" s="18">
        <f>IF(F254&lt;&gt;"",ROW()-4,"")</f>
        <v/>
      </c>
      <c r="B254" s="15" t="n"/>
      <c r="C254" s="4" t="n"/>
      <c r="D254" s="4" t="n"/>
      <c r="E254" s="4" t="n"/>
      <c r="F254" s="16" t="n"/>
      <c r="G254" s="4" t="n"/>
      <c r="H254" s="4" t="n"/>
      <c r="I254" s="4" t="n"/>
      <c r="J254" s="4" t="n"/>
    </row>
    <row r="255">
      <c r="A255" s="14">
        <f>IF(F255&lt;&gt;"",ROW()-4,"")</f>
        <v/>
      </c>
      <c r="B255" s="15" t="n"/>
      <c r="C255" s="4" t="n"/>
      <c r="D255" s="4" t="n"/>
      <c r="E255" s="4" t="n"/>
      <c r="F255" s="16" t="n"/>
      <c r="G255" s="4" t="n"/>
      <c r="H255" s="4" t="n"/>
      <c r="I255" s="4" t="n"/>
      <c r="J255" s="4" t="n"/>
    </row>
    <row r="256" ht="24" customHeight="1">
      <c r="A256" s="19" t="inlineStr">
        <is>
          <t>TOTAL EXPENSES THIS MONTH</t>
        </is>
      </c>
      <c r="F256" s="11">
        <f>SUM(F5:F255)</f>
        <v/>
      </c>
      <c r="G256" s="12" t="n"/>
      <c r="H256" s="12" t="n"/>
      <c r="I256" s="12" t="n"/>
      <c r="J256" s="12" t="n"/>
    </row>
  </sheetData>
  <mergeCells count="3">
    <mergeCell ref="A1:J1"/>
    <mergeCell ref="A2:J2"/>
    <mergeCell ref="A256:E256"/>
  </mergeCells>
  <conditionalFormatting sqref="A5:J255">
    <cfRule type="expression" priority="1" dxfId="0">
      <formula>$D5="Fixed Bills"</formula>
    </cfRule>
    <cfRule type="expression" priority="2" dxfId="1">
      <formula>$D5="Food &amp; Dining"</formula>
    </cfRule>
    <cfRule type="expression" priority="3" dxfId="2">
      <formula>$D5="Transport &amp; Fuel"</formula>
    </cfRule>
    <cfRule type="expression" priority="4" dxfId="3">
      <formula>$D5="Shopping &amp; Clothing"</formula>
    </cfRule>
    <cfRule type="expression" priority="5" dxfId="4">
      <formula>$D5="Entertainment &amp; OTT"</formula>
    </cfRule>
    <cfRule type="expression" priority="6" dxfId="5">
      <formula>$D5="Groceries"</formula>
    </cfRule>
    <cfRule type="expression" priority="7" dxfId="6">
      <formula>$D5="Investment"</formula>
    </cfRule>
    <cfRule type="expression" priority="8" dxfId="7">
      <formula>$D5="Added to Savings"</formula>
    </cfRule>
    <cfRule type="expression" priority="9" dxfId="8">
      <formula>$D5="Credit Card Payment"</formula>
    </cfRule>
    <cfRule type="expression" priority="10" dxfId="9">
      <formula>$D5="Miscellaneous"</formula>
    </cfRule>
  </conditionalFormatting>
  <dataValidations count="5">
    <dataValidation sqref="D5:D255" showErrorMessage="1" showInputMessage="1" allowBlank="1" errorTitle="Invalid Category" error="Pick a category from the list" type="list">
      <formula1>_Lists!$A$1:$A$10</formula1>
    </dataValidation>
    <dataValidation sqref="E5:E255" showErrorMessage="1" showDropDown="0" showInputMessage="1" allowBlank="1" type="list">
      <formula1>_Lists!$O$1:$O$41</formula1>
    </dataValidation>
    <dataValidation sqref="G5:G255" showErrorMessage="1" showInputMessage="1" allowBlank="1" type="list">
      <formula1>_Lists!$Q$1:$Q$8</formula1>
    </dataValidation>
    <dataValidation sqref="H5:H255" showErrorMessage="1" showInputMessage="1" allowBlank="1" type="list">
      <formula1>Setup!$D$5:$D$9</formula1>
    </dataValidation>
    <dataValidation sqref="I5:I255" showErrorMessage="1" showInputMessage="1" allowBlank="1" type="list">
      <formula1>_Lists!$R$1:$R$10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22" customWidth="1" min="4" max="4"/>
    <col width="22" customWidth="1" min="5" max="5"/>
    <col width="14" customWidth="1" min="6" max="6"/>
    <col width="20" customWidth="1" min="7" max="7"/>
    <col width="20" customWidth="1" min="8" max="8"/>
    <col width="22" customWidth="1" min="9" max="9"/>
    <col width="22" customWidth="1" min="10" max="10"/>
    <col width="2" customWidth="1" min="11" max="11"/>
    <col width="26" customWidth="1" min="12" max="12"/>
    <col width="16" customWidth="1" min="13" max="13"/>
  </cols>
  <sheetData>
    <row r="1" ht="36" customHeight="1">
      <c r="A1" s="1" t="inlineStr">
        <is>
          <t>📝  MARCH — EXPENSE LOG</t>
        </is>
      </c>
    </row>
    <row r="2" ht="32" customHeight="1">
      <c r="A2" s="13" t="inlineStr">
        <is>
          <t>ℹ️  Date is DateTime. Category dropdown → Sub-category changes automatically. 'Added to Savings' → pick your saving account in Sub-category. CC spend → pick card in 'CC Name'. CC payment → increases card limit.</t>
        </is>
      </c>
    </row>
    <row r="4" ht="28" customHeight="1">
      <c r="A4" s="3" t="inlineStr">
        <is>
          <t>#</t>
        </is>
      </c>
      <c r="B4" s="3" t="inlineStr">
        <is>
          <t>Date &amp; Time</t>
        </is>
      </c>
      <c r="C4" s="3" t="inlineStr">
        <is>
          <t>Description</t>
        </is>
      </c>
      <c r="D4" s="3" t="inlineStr">
        <is>
          <t>Category</t>
        </is>
      </c>
      <c r="E4" s="3" t="inlineStr">
        <is>
          <t>Sub-category</t>
        </is>
      </c>
      <c r="F4" s="3" t="inlineStr">
        <is>
          <t>Amount (₹)</t>
        </is>
      </c>
      <c r="G4" s="3" t="inlineStr">
        <is>
          <t>Paid From</t>
        </is>
      </c>
      <c r="H4" s="3" t="inlineStr">
        <is>
          <t>CC Name</t>
        </is>
      </c>
      <c r="I4" s="3" t="inlineStr">
        <is>
          <t>Account</t>
        </is>
      </c>
      <c r="J4" s="3" t="inlineStr">
        <is>
          <t>Notes</t>
        </is>
      </c>
      <c r="L4" s="3" t="inlineStr">
        <is>
          <t>📊  March Summary</t>
        </is>
      </c>
      <c r="M4" s="3" t="inlineStr">
        <is>
          <t>Amount (₹)</t>
        </is>
      </c>
    </row>
    <row r="5" ht="22" customHeight="1">
      <c r="A5" s="14">
        <f>IF(F5&lt;&gt;"",ROW()-4,"")</f>
        <v/>
      </c>
      <c r="B5" s="15" t="n"/>
      <c r="C5" s="4" t="n"/>
      <c r="D5" s="4" t="n"/>
      <c r="E5" s="4" t="n"/>
      <c r="F5" s="16" t="n"/>
      <c r="G5" s="4" t="n"/>
      <c r="H5" s="4" t="n"/>
      <c r="I5" s="4" t="n"/>
      <c r="J5" s="4" t="n"/>
      <c r="L5" s="17" t="inlineStr">
        <is>
          <t>Total Expenses</t>
        </is>
      </c>
      <c r="M5" s="9">
        <f>F256</f>
        <v/>
      </c>
    </row>
    <row r="6" ht="22" customHeight="1">
      <c r="A6" s="18">
        <f>IF(F6&lt;&gt;"",ROW()-4,"")</f>
        <v/>
      </c>
      <c r="B6" s="15" t="n"/>
      <c r="C6" s="4" t="n"/>
      <c r="D6" s="4" t="n"/>
      <c r="E6" s="4" t="n"/>
      <c r="F6" s="16" t="n"/>
      <c r="G6" s="4" t="n"/>
      <c r="H6" s="4" t="n"/>
      <c r="I6" s="4" t="n"/>
      <c r="J6" s="4" t="n"/>
      <c r="L6" s="17" t="inlineStr">
        <is>
          <t>Income This Month</t>
        </is>
      </c>
      <c r="M6" s="9">
        <f>Income!E15</f>
        <v/>
      </c>
    </row>
    <row r="7" ht="22" customHeight="1">
      <c r="A7" s="14">
        <f>IF(F7&lt;&gt;"",ROW()-4,"")</f>
        <v/>
      </c>
      <c r="B7" s="15" t="n"/>
      <c r="C7" s="4" t="n"/>
      <c r="D7" s="4" t="n"/>
      <c r="E7" s="4" t="n"/>
      <c r="F7" s="16" t="n"/>
      <c r="G7" s="4" t="n"/>
      <c r="H7" s="4" t="n"/>
      <c r="I7" s="4" t="n"/>
      <c r="J7" s="4" t="n"/>
      <c r="L7" s="17" t="inlineStr">
        <is>
          <t>Net This Month</t>
        </is>
      </c>
      <c r="M7" s="9">
        <f>M6-M5</f>
        <v/>
      </c>
    </row>
    <row r="8" ht="22" customHeight="1">
      <c r="A8" s="18">
        <f>IF(F8&lt;&gt;"",ROW()-4,"")</f>
        <v/>
      </c>
      <c r="B8" s="15" t="n"/>
      <c r="C8" s="4" t="n"/>
      <c r="D8" s="4" t="n"/>
      <c r="E8" s="4" t="n"/>
      <c r="F8" s="16" t="n"/>
      <c r="G8" s="4" t="n"/>
      <c r="H8" s="4" t="n"/>
      <c r="I8" s="4" t="n"/>
      <c r="J8" s="4" t="n"/>
      <c r="L8" s="17" t="inlineStr">
        <is>
          <t>Savings 1 (this month)</t>
        </is>
      </c>
      <c r="M8" s="9">
        <f>IF(Setup!A13&lt;&gt;"",SUMIFS(F5:F255,D5:D255,"Added to Savings",I5:I255,Setup!A13)-SUMIFS(F5:F255,G5:G255,Setup!A13),"")</f>
        <v/>
      </c>
    </row>
    <row r="9" ht="22" customHeight="1">
      <c r="A9" s="14">
        <f>IF(F9&lt;&gt;"",ROW()-4,"")</f>
        <v/>
      </c>
      <c r="B9" s="15" t="n"/>
      <c r="C9" s="4" t="n"/>
      <c r="D9" s="4" t="n"/>
      <c r="E9" s="4" t="n"/>
      <c r="F9" s="16" t="n"/>
      <c r="G9" s="4" t="n"/>
      <c r="H9" s="4" t="n"/>
      <c r="I9" s="4" t="n"/>
      <c r="J9" s="4" t="n"/>
      <c r="L9" s="17" t="inlineStr">
        <is>
          <t>Savings 1 (balance)</t>
        </is>
      </c>
      <c r="M9" s="9">
        <f>IF(Setup!A13&lt;&gt;"",Setup!B13+(SUMIFS('April'!F5:F64,'April'!D5:D64,"Added to Savings",'April'!I5:I64,Setup!A13)+SUMIFS('May'!F5:F64,'May'!D5:D64,"Added to Savings",'May'!I5:I64,Setup!A13)+SUMIFS('June'!F5:F64,'June'!D5:D64,"Added to Savings",'June'!I5:I64,Setup!A13)+SUMIFS('July'!F5:F64,'July'!D5:D64,"Added to Savings",'July'!I5:I64,Setup!A13)+SUMIFS('August'!F5:F64,'August'!D5:D64,"Added to Savings",'August'!I5:I64,Setup!A13)+SUMIFS('September'!F5:F64,'September'!D5:D64,"Added to Savings",'September'!I5:I64,Setup!A13)+SUMIFS('October'!F5:F64,'October'!D5:D64,"Added to Savings",'October'!I5:I64,Setup!A13)+SUMIFS('November'!F5:F64,'November'!D5:D64,"Added to Savings",'November'!I5:I64,Setup!A13)+SUMIFS('December'!F5:F64,'December'!D5:D64,"Added to Savings",'December'!I5:I64,Setup!A13)+SUMIFS('January'!F5:F64,'January'!D5:D64,"Added to Savings",'January'!I5:I64,Setup!A13)+SUMIFS('February'!F5:F64,'February'!D5:D64,"Added to Savings",'February'!I5:I64,Setup!A13)+SUMIFS('March'!F5:F64,'March'!D5:D64,"Added to Savings",'March'!I5:I64,Setup!A13))-(SUMIFS('April'!F5:F64,'April'!G5:G64,Setup!A13)+SUMIFS('May'!F5:F64,'May'!G5:G64,Setup!A13)+SUMIFS('June'!F5:F64,'June'!G5:G64,Setup!A13)+SUMIFS('July'!F5:F64,'July'!G5:G64,Setup!A13)+SUMIFS('August'!F5:F64,'August'!G5:G64,Setup!A13)+SUMIFS('September'!F5:F64,'September'!G5:G64,Setup!A13)+SUMIFS('October'!F5:F64,'October'!G5:G64,Setup!A13)+SUMIFS('November'!F5:F64,'November'!G5:G64,Setup!A13)+SUMIFS('December'!F5:F64,'December'!G5:G64,Setup!A13)+SUMIFS('January'!F5:F64,'January'!G5:G64,Setup!A13)+SUMIFS('February'!F5:F64,'February'!G5:G64,Setup!A13)+SUMIFS('March'!F5:F64,'March'!G5:G64,Setup!A13)),"")</f>
        <v/>
      </c>
    </row>
    <row r="10" ht="22" customHeight="1">
      <c r="A10" s="18">
        <f>IF(F10&lt;&gt;"",ROW()-4,"")</f>
        <v/>
      </c>
      <c r="B10" s="15" t="n"/>
      <c r="C10" s="4" t="n"/>
      <c r="D10" s="4" t="n"/>
      <c r="E10" s="4" t="n"/>
      <c r="F10" s="16" t="n"/>
      <c r="G10" s="4" t="n"/>
      <c r="H10" s="4" t="n"/>
      <c r="I10" s="4" t="n"/>
      <c r="J10" s="4" t="n"/>
      <c r="L10" s="17" t="inlineStr">
        <is>
          <t>Savings 2 (this month)</t>
        </is>
      </c>
      <c r="M10" s="9">
        <f>IF(Setup!A14&lt;&gt;"",SUMIFS(F5:F255,D5:D255,"Added to Savings",I5:I255,Setup!A14)-SUMIFS(F5:F255,G5:G255,Setup!A14),"")</f>
        <v/>
      </c>
    </row>
    <row r="11" ht="22" customHeight="1">
      <c r="A11" s="14">
        <f>IF(F11&lt;&gt;"",ROW()-4,"")</f>
        <v/>
      </c>
      <c r="B11" s="15" t="n"/>
      <c r="C11" s="4" t="n"/>
      <c r="D11" s="4" t="n"/>
      <c r="E11" s="4" t="n"/>
      <c r="F11" s="16" t="n"/>
      <c r="G11" s="4" t="n"/>
      <c r="H11" s="4" t="n"/>
      <c r="I11" s="4" t="n"/>
      <c r="J11" s="4" t="n"/>
      <c r="L11" s="17" t="inlineStr">
        <is>
          <t>Savings 2 (balance)</t>
        </is>
      </c>
      <c r="M11" s="9">
        <f>IF(Setup!A14&lt;&gt;"",Setup!B14+(SUMIFS('April'!F5:F64,'April'!D5:D64,"Added to Savings",'April'!I5:I64,Setup!A14)+SUMIFS('May'!F5:F64,'May'!D5:D64,"Added to Savings",'May'!I5:I64,Setup!A14)+SUMIFS('June'!F5:F64,'June'!D5:D64,"Added to Savings",'June'!I5:I64,Setup!A14)+SUMIFS('July'!F5:F64,'July'!D5:D64,"Added to Savings",'July'!I5:I64,Setup!A14)+SUMIFS('August'!F5:F64,'August'!D5:D64,"Added to Savings",'August'!I5:I64,Setup!A14)+SUMIFS('September'!F5:F64,'September'!D5:D64,"Added to Savings",'September'!I5:I64,Setup!A14)+SUMIFS('October'!F5:F64,'October'!D5:D64,"Added to Savings",'October'!I5:I64,Setup!A14)+SUMIFS('November'!F5:F64,'November'!D5:D64,"Added to Savings",'November'!I5:I64,Setup!A14)+SUMIFS('December'!F5:F64,'December'!D5:D64,"Added to Savings",'December'!I5:I64,Setup!A14)+SUMIFS('January'!F5:F64,'January'!D5:D64,"Added to Savings",'January'!I5:I64,Setup!A14)+SUMIFS('February'!F5:F64,'February'!D5:D64,"Added to Savings",'February'!I5:I64,Setup!A14)+SUMIFS('March'!F5:F64,'March'!D5:D64,"Added to Savings",'March'!I5:I64,Setup!A14))-(SUMIFS('April'!F5:F64,'April'!G5:G64,Setup!A14)+SUMIFS('May'!F5:F64,'May'!G5:G64,Setup!A14)+SUMIFS('June'!F5:F64,'June'!G5:G64,Setup!A14)+SUMIFS('July'!F5:F64,'July'!G5:G64,Setup!A14)+SUMIFS('August'!F5:F64,'August'!G5:G64,Setup!A14)+SUMIFS('September'!F5:F64,'September'!G5:G64,Setup!A14)+SUMIFS('October'!F5:F64,'October'!G5:G64,Setup!A14)+SUMIFS('November'!F5:F64,'November'!G5:G64,Setup!A14)+SUMIFS('December'!F5:F64,'December'!G5:G64,Setup!A14)+SUMIFS('January'!F5:F64,'January'!G5:G64,Setup!A14)+SUMIFS('February'!F5:F64,'February'!G5:G64,Setup!A14)+SUMIFS('March'!F5:F64,'March'!G5:G64,Setup!A14)),"")</f>
        <v/>
      </c>
    </row>
    <row r="12" ht="22" customHeight="1">
      <c r="A12" s="18">
        <f>IF(F12&lt;&gt;"",ROW()-4,"")</f>
        <v/>
      </c>
      <c r="B12" s="15" t="n"/>
      <c r="C12" s="4" t="n"/>
      <c r="D12" s="4" t="n"/>
      <c r="E12" s="4" t="n"/>
      <c r="F12" s="16" t="n"/>
      <c r="G12" s="4" t="n"/>
      <c r="H12" s="4" t="n"/>
      <c r="I12" s="4" t="n"/>
      <c r="J12" s="4" t="n"/>
      <c r="L12" s="17" t="inlineStr">
        <is>
          <t>Savings 3 (this month)</t>
        </is>
      </c>
      <c r="M12" s="9">
        <f>IF(Setup!A15&lt;&gt;"",SUMIFS(F5:F255,D5:D255,"Added to Savings",I5:I255,Setup!A15)-SUMIFS(F5:F255,G5:G255,Setup!A15),"")</f>
        <v/>
      </c>
    </row>
    <row r="13" ht="22" customHeight="1">
      <c r="A13" s="14">
        <f>IF(F13&lt;&gt;"",ROW()-4,"")</f>
        <v/>
      </c>
      <c r="B13" s="15" t="n"/>
      <c r="C13" s="4" t="n"/>
      <c r="D13" s="4" t="n"/>
      <c r="E13" s="4" t="n"/>
      <c r="F13" s="16" t="n"/>
      <c r="G13" s="4" t="n"/>
      <c r="H13" s="4" t="n"/>
      <c r="I13" s="4" t="n"/>
      <c r="J13" s="4" t="n"/>
      <c r="L13" s="17" t="inlineStr">
        <is>
          <t>Savings 3 (balance)</t>
        </is>
      </c>
      <c r="M13" s="9">
        <f>IF(Setup!A15&lt;&gt;"",Setup!B15+(SUMIFS('April'!F5:F64,'April'!D5:D64,"Added to Savings",'April'!I5:I64,Setup!A15)+SUMIFS('May'!F5:F64,'May'!D5:D64,"Added to Savings",'May'!I5:I64,Setup!A15)+SUMIFS('June'!F5:F64,'June'!D5:D64,"Added to Savings",'June'!I5:I64,Setup!A15)+SUMIFS('July'!F5:F64,'July'!D5:D64,"Added to Savings",'July'!I5:I64,Setup!A15)+SUMIFS('August'!F5:F64,'August'!D5:D64,"Added to Savings",'August'!I5:I64,Setup!A15)+SUMIFS('September'!F5:F64,'September'!D5:D64,"Added to Savings",'September'!I5:I64,Setup!A15)+SUMIFS('October'!F5:F64,'October'!D5:D64,"Added to Savings",'October'!I5:I64,Setup!A15)+SUMIFS('November'!F5:F64,'November'!D5:D64,"Added to Savings",'November'!I5:I64,Setup!A15)+SUMIFS('December'!F5:F64,'December'!D5:D64,"Added to Savings",'December'!I5:I64,Setup!A15)+SUMIFS('January'!F5:F64,'January'!D5:D64,"Added to Savings",'January'!I5:I64,Setup!A15)+SUMIFS('February'!F5:F64,'February'!D5:D64,"Added to Savings",'February'!I5:I64,Setup!A15)+SUMIFS('March'!F5:F64,'March'!D5:D64,"Added to Savings",'March'!I5:I64,Setup!A15))-(SUMIFS('April'!F5:F64,'April'!G5:G64,Setup!A15)+SUMIFS('May'!F5:F64,'May'!G5:G64,Setup!A15)+SUMIFS('June'!F5:F64,'June'!G5:G64,Setup!A15)+SUMIFS('July'!F5:F64,'July'!G5:G64,Setup!A15)+SUMIFS('August'!F5:F64,'August'!G5:G64,Setup!A15)+SUMIFS('September'!F5:F64,'September'!G5:G64,Setup!A15)+SUMIFS('October'!F5:F64,'October'!G5:G64,Setup!A15)+SUMIFS('November'!F5:F64,'November'!G5:G64,Setup!A15)+SUMIFS('December'!F5:F64,'December'!G5:G64,Setup!A15)+SUMIFS('January'!F5:F64,'January'!G5:G64,Setup!A15)+SUMIFS('February'!F5:F64,'February'!G5:G64,Setup!A15)+SUMIFS('March'!F5:F64,'March'!G5:G64,Setup!A15)),"")</f>
        <v/>
      </c>
    </row>
    <row r="14" ht="22" customHeight="1">
      <c r="A14" s="18">
        <f>IF(F14&lt;&gt;"",ROW()-4,"")</f>
        <v/>
      </c>
      <c r="B14" s="15" t="n"/>
      <c r="C14" s="4" t="n"/>
      <c r="D14" s="4" t="n"/>
      <c r="E14" s="4" t="n"/>
      <c r="F14" s="16" t="n"/>
      <c r="G14" s="4" t="n"/>
      <c r="H14" s="4" t="n"/>
      <c r="I14" s="4" t="n"/>
      <c r="J14" s="4" t="n"/>
      <c r="L14" s="17" t="inlineStr">
        <is>
          <t>Savings 4 (this month)</t>
        </is>
      </c>
      <c r="M14" s="9">
        <f>IF(Setup!A16&lt;&gt;"",SUMIFS(F5:F255,D5:D255,"Added to Savings",I5:I255,Setup!A16)-SUMIFS(F5:F255,G5:G255,Setup!A16),"")</f>
        <v/>
      </c>
    </row>
    <row r="15" ht="22" customHeight="1">
      <c r="A15" s="14">
        <f>IF(F15&lt;&gt;"",ROW()-4,"")</f>
        <v/>
      </c>
      <c r="B15" s="15" t="n"/>
      <c r="C15" s="4" t="n"/>
      <c r="D15" s="4" t="n"/>
      <c r="E15" s="4" t="n"/>
      <c r="F15" s="16" t="n"/>
      <c r="G15" s="4" t="n"/>
      <c r="H15" s="4" t="n"/>
      <c r="I15" s="4" t="n"/>
      <c r="J15" s="4" t="n"/>
      <c r="L15" s="17" t="inlineStr">
        <is>
          <t>Savings 4 (balance)</t>
        </is>
      </c>
      <c r="M15" s="9">
        <f>IF(Setup!A16&lt;&gt;"",Setup!B16+(SUMIFS('April'!F5:F64,'April'!D5:D64,"Added to Savings",'April'!I5:I64,Setup!A16)+SUMIFS('May'!F5:F64,'May'!D5:D64,"Added to Savings",'May'!I5:I64,Setup!A16)+SUMIFS('June'!F5:F64,'June'!D5:D64,"Added to Savings",'June'!I5:I64,Setup!A16)+SUMIFS('July'!F5:F64,'July'!D5:D64,"Added to Savings",'July'!I5:I64,Setup!A16)+SUMIFS('August'!F5:F64,'August'!D5:D64,"Added to Savings",'August'!I5:I64,Setup!A16)+SUMIFS('September'!F5:F64,'September'!D5:D64,"Added to Savings",'September'!I5:I64,Setup!A16)+SUMIFS('October'!F5:F64,'October'!D5:D64,"Added to Savings",'October'!I5:I64,Setup!A16)+SUMIFS('November'!F5:F64,'November'!D5:D64,"Added to Savings",'November'!I5:I64,Setup!A16)+SUMIFS('December'!F5:F64,'December'!D5:D64,"Added to Savings",'December'!I5:I64,Setup!A16)+SUMIFS('January'!F5:F64,'January'!D5:D64,"Added to Savings",'January'!I5:I64,Setup!A16)+SUMIFS('February'!F5:F64,'February'!D5:D64,"Added to Savings",'February'!I5:I64,Setup!A16)+SUMIFS('March'!F5:F64,'March'!D5:D64,"Added to Savings",'March'!I5:I64,Setup!A16))-(SUMIFS('April'!F5:F64,'April'!G5:G64,Setup!A16)+SUMIFS('May'!F5:F64,'May'!G5:G64,Setup!A16)+SUMIFS('June'!F5:F64,'June'!G5:G64,Setup!A16)+SUMIFS('July'!F5:F64,'July'!G5:G64,Setup!A16)+SUMIFS('August'!F5:F64,'August'!G5:G64,Setup!A16)+SUMIFS('September'!F5:F64,'September'!G5:G64,Setup!A16)+SUMIFS('October'!F5:F64,'October'!G5:G64,Setup!A16)+SUMIFS('November'!F5:F64,'November'!G5:G64,Setup!A16)+SUMIFS('December'!F5:F64,'December'!G5:G64,Setup!A16)+SUMIFS('January'!F5:F64,'January'!G5:G64,Setup!A16)+SUMIFS('February'!F5:F64,'February'!G5:G64,Setup!A16)+SUMIFS('March'!F5:F64,'March'!G5:G64,Setup!A16)),"")</f>
        <v/>
      </c>
    </row>
    <row r="16" ht="22" customHeight="1">
      <c r="A16" s="18">
        <f>IF(F16&lt;&gt;"",ROW()-4,"")</f>
        <v/>
      </c>
      <c r="B16" s="15" t="n"/>
      <c r="C16" s="4" t="n"/>
      <c r="D16" s="4" t="n"/>
      <c r="E16" s="4" t="n"/>
      <c r="F16" s="16" t="n"/>
      <c r="G16" s="4" t="n"/>
      <c r="H16" s="4" t="n"/>
      <c r="I16" s="4" t="n"/>
      <c r="J16" s="4" t="n"/>
      <c r="L16" s="17" t="inlineStr">
        <is>
          <t>Savings 5 (this month)</t>
        </is>
      </c>
      <c r="M16" s="9">
        <f>IF(Setup!A17&lt;&gt;"",SUMIFS(F5:F255,D5:D255,"Added to Savings",I5:I255,Setup!A17)-SUMIFS(F5:F255,G5:G255,Setup!A17),"")</f>
        <v/>
      </c>
    </row>
    <row r="17" ht="22" customHeight="1">
      <c r="A17" s="14">
        <f>IF(F17&lt;&gt;"",ROW()-4,"")</f>
        <v/>
      </c>
      <c r="B17" s="15" t="n"/>
      <c r="C17" s="4" t="n"/>
      <c r="D17" s="4" t="n"/>
      <c r="E17" s="4" t="n"/>
      <c r="F17" s="16" t="n"/>
      <c r="G17" s="4" t="n"/>
      <c r="H17" s="4" t="n"/>
      <c r="I17" s="4" t="n"/>
      <c r="J17" s="4" t="n"/>
      <c r="L17" s="17" t="inlineStr">
        <is>
          <t>Savings 5 (balance)</t>
        </is>
      </c>
      <c r="M17" s="9">
        <f>IF(Setup!A17&lt;&gt;"",Setup!B17+(SUMIFS('April'!F5:F64,'April'!D5:D64,"Added to Savings",'April'!I5:I64,Setup!A17)+SUMIFS('May'!F5:F64,'May'!D5:D64,"Added to Savings",'May'!I5:I64,Setup!A17)+SUMIFS('June'!F5:F64,'June'!D5:D64,"Added to Savings",'June'!I5:I64,Setup!A17)+SUMIFS('July'!F5:F64,'July'!D5:D64,"Added to Savings",'July'!I5:I64,Setup!A17)+SUMIFS('August'!F5:F64,'August'!D5:D64,"Added to Savings",'August'!I5:I64,Setup!A17)+SUMIFS('September'!F5:F64,'September'!D5:D64,"Added to Savings",'September'!I5:I64,Setup!A17)+SUMIFS('October'!F5:F64,'October'!D5:D64,"Added to Savings",'October'!I5:I64,Setup!A17)+SUMIFS('November'!F5:F64,'November'!D5:D64,"Added to Savings",'November'!I5:I64,Setup!A17)+SUMIFS('December'!F5:F64,'December'!D5:D64,"Added to Savings",'December'!I5:I64,Setup!A17)+SUMIFS('January'!F5:F64,'January'!D5:D64,"Added to Savings",'January'!I5:I64,Setup!A17)+SUMIFS('February'!F5:F64,'February'!D5:D64,"Added to Savings",'February'!I5:I64,Setup!A17)+SUMIFS('March'!F5:F64,'March'!D5:D64,"Added to Savings",'March'!I5:I64,Setup!A17))-(SUMIFS('April'!F5:F64,'April'!G5:G64,Setup!A17)+SUMIFS('May'!F5:F64,'May'!G5:G64,Setup!A17)+SUMIFS('June'!F5:F64,'June'!G5:G64,Setup!A17)+SUMIFS('July'!F5:F64,'July'!G5:G64,Setup!A17)+SUMIFS('August'!F5:F64,'August'!G5:G64,Setup!A17)+SUMIFS('September'!F5:F64,'September'!G5:G64,Setup!A17)+SUMIFS('October'!F5:F64,'October'!G5:G64,Setup!A17)+SUMIFS('November'!F5:F64,'November'!G5:G64,Setup!A17)+SUMIFS('December'!F5:F64,'December'!G5:G64,Setup!A17)+SUMIFS('January'!F5:F64,'January'!G5:G64,Setup!A17)+SUMIFS('February'!F5:F64,'February'!G5:G64,Setup!A17)+SUMIFS('March'!F5:F64,'March'!G5:G64,Setup!A17)),"")</f>
        <v/>
      </c>
    </row>
    <row r="18" ht="22" customHeight="1">
      <c r="A18" s="18">
        <f>IF(F18&lt;&gt;"",ROW()-4,"")</f>
        <v/>
      </c>
      <c r="B18" s="15" t="n"/>
      <c r="C18" s="4" t="n"/>
      <c r="D18" s="4" t="n"/>
      <c r="E18" s="4" t="n"/>
      <c r="F18" s="16" t="n"/>
      <c r="G18" s="4" t="n"/>
      <c r="H18" s="4" t="n"/>
      <c r="I18" s="4" t="n"/>
      <c r="J18" s="4" t="n"/>
      <c r="L18" s="17" t="inlineStr">
        <is>
          <t>Fixed Bills Paid</t>
        </is>
      </c>
      <c r="M18" s="9">
        <f>SUMIF(D5:D255,"Fixed Bills",F5:F255)</f>
        <v/>
      </c>
    </row>
    <row r="19" ht="22" customHeight="1">
      <c r="A19" s="14">
        <f>IF(F19&lt;&gt;"",ROW()-4,"")</f>
        <v/>
      </c>
      <c r="B19" s="15" t="n"/>
      <c r="C19" s="4" t="n"/>
      <c r="D19" s="4" t="n"/>
      <c r="E19" s="4" t="n"/>
      <c r="F19" s="16" t="n"/>
      <c r="G19" s="4" t="n"/>
      <c r="H19" s="4" t="n"/>
      <c r="I19" s="4" t="n"/>
      <c r="J19" s="4" t="n"/>
      <c r="L19" s="17" t="inlineStr">
        <is>
          <t>Food &amp; Dining</t>
        </is>
      </c>
      <c r="M19" s="9">
        <f>SUMIF(D5:D255,"Food &amp; Dining",F5:F255)</f>
        <v/>
      </c>
    </row>
    <row r="20" ht="22" customHeight="1">
      <c r="A20" s="18">
        <f>IF(F20&lt;&gt;"",ROW()-4,"")</f>
        <v/>
      </c>
      <c r="B20" s="15" t="n"/>
      <c r="C20" s="4" t="n"/>
      <c r="D20" s="4" t="n"/>
      <c r="E20" s="4" t="n"/>
      <c r="F20" s="16" t="n"/>
      <c r="G20" s="4" t="n"/>
      <c r="H20" s="4" t="n"/>
      <c r="I20" s="4" t="n"/>
      <c r="J20" s="4" t="n"/>
      <c r="L20" s="17" t="inlineStr">
        <is>
          <t>Transport</t>
        </is>
      </c>
      <c r="M20" s="9">
        <f>SUMIF(D5:D255,"Transport &amp; Fuel",F5:F255)</f>
        <v/>
      </c>
    </row>
    <row r="21" ht="22" customHeight="1">
      <c r="A21" s="14">
        <f>IF(F21&lt;&gt;"",ROW()-4,"")</f>
        <v/>
      </c>
      <c r="B21" s="15" t="n"/>
      <c r="C21" s="4" t="n"/>
      <c r="D21" s="4" t="n"/>
      <c r="E21" s="4" t="n"/>
      <c r="F21" s="16" t="n"/>
      <c r="G21" s="4" t="n"/>
      <c r="H21" s="4" t="n"/>
      <c r="I21" s="4" t="n"/>
      <c r="J21" s="4" t="n"/>
      <c r="L21" s="17" t="inlineStr">
        <is>
          <t>Groceries</t>
        </is>
      </c>
      <c r="M21" s="9">
        <f>SUMIF(D5:D255,"Groceries",F5:F255)</f>
        <v/>
      </c>
    </row>
    <row r="22" ht="22" customHeight="1">
      <c r="A22" s="18">
        <f>IF(F22&lt;&gt;"",ROW()-4,"")</f>
        <v/>
      </c>
      <c r="B22" s="15" t="n"/>
      <c r="C22" s="4" t="n"/>
      <c r="D22" s="4" t="n"/>
      <c r="E22" s="4" t="n"/>
      <c r="F22" s="16" t="n"/>
      <c r="G22" s="4" t="n"/>
      <c r="H22" s="4" t="n"/>
      <c r="I22" s="4" t="n"/>
      <c r="J22" s="4" t="n"/>
      <c r="L22" s="17" t="inlineStr">
        <is>
          <t>Shopping</t>
        </is>
      </c>
      <c r="M22" s="9">
        <f>SUMIF(D5:D255,"Shopping &amp; Clothing",F5:F255)</f>
        <v/>
      </c>
    </row>
    <row r="23" ht="22" customHeight="1">
      <c r="A23" s="14">
        <f>IF(F23&lt;&gt;"",ROW()-4,"")</f>
        <v/>
      </c>
      <c r="B23" s="15" t="n"/>
      <c r="C23" s="4" t="n"/>
      <c r="D23" s="4" t="n"/>
      <c r="E23" s="4" t="n"/>
      <c r="F23" s="16" t="n"/>
      <c r="G23" s="4" t="n"/>
      <c r="H23" s="4" t="n"/>
      <c r="I23" s="4" t="n"/>
      <c r="J23" s="4" t="n"/>
      <c r="L23" s="17" t="inlineStr">
        <is>
          <t>Entertainment</t>
        </is>
      </c>
      <c r="M23" s="9">
        <f>SUMIF(D5:D255,"Entertainment &amp; OTT",F5:F255)</f>
        <v/>
      </c>
    </row>
    <row r="24" ht="22" customHeight="1">
      <c r="A24" s="18">
        <f>IF(F24&lt;&gt;"",ROW()-4,"")</f>
        <v/>
      </c>
      <c r="B24" s="15" t="n"/>
      <c r="C24" s="4" t="n"/>
      <c r="D24" s="4" t="n"/>
      <c r="E24" s="4" t="n"/>
      <c r="F24" s="16" t="n"/>
      <c r="G24" s="4" t="n"/>
      <c r="H24" s="4" t="n"/>
      <c r="I24" s="4" t="n"/>
      <c r="J24" s="4" t="n"/>
      <c r="L24" s="17" t="inlineStr">
        <is>
          <t>Investment</t>
        </is>
      </c>
      <c r="M24" s="9">
        <f>SUMIF(D5:D255,"Investment",F5:F255)</f>
        <v/>
      </c>
    </row>
    <row r="25" ht="22" customHeight="1">
      <c r="A25" s="14">
        <f>IF(F25&lt;&gt;"",ROW()-4,"")</f>
        <v/>
      </c>
      <c r="B25" s="15" t="n"/>
      <c r="C25" s="4" t="n"/>
      <c r="D25" s="4" t="n"/>
      <c r="E25" s="4" t="n"/>
      <c r="F25" s="16" t="n"/>
      <c r="G25" s="4" t="n"/>
      <c r="H25" s="4" t="n"/>
      <c r="I25" s="4" t="n"/>
      <c r="J25" s="4" t="n"/>
      <c r="L25" s="17" t="inlineStr">
        <is>
          <t>Added to Savings</t>
        </is>
      </c>
      <c r="M25" s="9">
        <f>SUMIF(D5:D255,"Added to Savings",F5:F255)</f>
        <v/>
      </c>
    </row>
    <row r="26" ht="22" customHeight="1">
      <c r="A26" s="18">
        <f>IF(F26&lt;&gt;"",ROW()-4,"")</f>
        <v/>
      </c>
      <c r="B26" s="15" t="n"/>
      <c r="C26" s="4" t="n"/>
      <c r="D26" s="4" t="n"/>
      <c r="E26" s="4" t="n"/>
      <c r="F26" s="16" t="n"/>
      <c r="G26" s="4" t="n"/>
      <c r="H26" s="4" t="n"/>
      <c r="I26" s="4" t="n"/>
      <c r="J26" s="4" t="n"/>
      <c r="L26" s="17" t="inlineStr">
        <is>
          <t>CC Payments</t>
        </is>
      </c>
      <c r="M26" s="9">
        <f>SUMIF(D5:D255,"Credit Card Payment",F5:F255)</f>
        <v/>
      </c>
    </row>
    <row r="27" ht="22" customHeight="1">
      <c r="A27" s="14">
        <f>IF(F27&lt;&gt;"",ROW()-4,"")</f>
        <v/>
      </c>
      <c r="B27" s="15" t="n"/>
      <c r="C27" s="4" t="n"/>
      <c r="D27" s="4" t="n"/>
      <c r="E27" s="4" t="n"/>
      <c r="F27" s="16" t="n"/>
      <c r="G27" s="4" t="n"/>
      <c r="H27" s="4" t="n"/>
      <c r="I27" s="4" t="n"/>
      <c r="J27" s="4" t="n"/>
      <c r="L27" s="17" t="inlineStr">
        <is>
          <t>Miscellaneous</t>
        </is>
      </c>
      <c r="M27" s="9">
        <f>SUMIF(D5:D255,"Miscellaneous",F5:F255)</f>
        <v/>
      </c>
    </row>
    <row r="28">
      <c r="A28" s="18">
        <f>IF(F28&lt;&gt;"",ROW()-4,"")</f>
        <v/>
      </c>
      <c r="B28" s="15" t="n"/>
      <c r="C28" s="4" t="n"/>
      <c r="D28" s="4" t="n"/>
      <c r="E28" s="4" t="n"/>
      <c r="F28" s="16" t="n"/>
      <c r="G28" s="4" t="n"/>
      <c r="H28" s="4" t="n"/>
      <c r="I28" s="4" t="n"/>
      <c r="J28" s="4" t="n"/>
    </row>
    <row r="29">
      <c r="A29" s="14">
        <f>IF(F29&lt;&gt;"",ROW()-4,"")</f>
        <v/>
      </c>
      <c r="B29" s="15" t="n"/>
      <c r="C29" s="4" t="n"/>
      <c r="D29" s="4" t="n"/>
      <c r="E29" s="4" t="n"/>
      <c r="F29" s="16" t="n"/>
      <c r="G29" s="4" t="n"/>
      <c r="H29" s="4" t="n"/>
      <c r="I29" s="4" t="n"/>
      <c r="J29" s="4" t="n"/>
    </row>
    <row r="30">
      <c r="A30" s="18">
        <f>IF(F30&lt;&gt;"",ROW()-4,"")</f>
        <v/>
      </c>
      <c r="B30" s="15" t="n"/>
      <c r="C30" s="4" t="n"/>
      <c r="D30" s="4" t="n"/>
      <c r="E30" s="4" t="n"/>
      <c r="F30" s="16" t="n"/>
      <c r="G30" s="4" t="n"/>
      <c r="H30" s="4" t="n"/>
      <c r="I30" s="4" t="n"/>
      <c r="J30" s="4" t="n"/>
    </row>
    <row r="31">
      <c r="A31" s="14">
        <f>IF(F31&lt;&gt;"",ROW()-4,"")</f>
        <v/>
      </c>
      <c r="B31" s="15" t="n"/>
      <c r="C31" s="4" t="n"/>
      <c r="D31" s="4" t="n"/>
      <c r="E31" s="4" t="n"/>
      <c r="F31" s="16" t="n"/>
      <c r="G31" s="4" t="n"/>
      <c r="H31" s="4" t="n"/>
      <c r="I31" s="4" t="n"/>
      <c r="J31" s="4" t="n"/>
    </row>
    <row r="32">
      <c r="A32" s="18">
        <f>IF(F32&lt;&gt;"",ROW()-4,"")</f>
        <v/>
      </c>
      <c r="B32" s="15" t="n"/>
      <c r="C32" s="4" t="n"/>
      <c r="D32" s="4" t="n"/>
      <c r="E32" s="4" t="n"/>
      <c r="F32" s="16" t="n"/>
      <c r="G32" s="4" t="n"/>
      <c r="H32" s="4" t="n"/>
      <c r="I32" s="4" t="n"/>
      <c r="J32" s="4" t="n"/>
    </row>
    <row r="33">
      <c r="A33" s="14">
        <f>IF(F33&lt;&gt;"",ROW()-4,"")</f>
        <v/>
      </c>
      <c r="B33" s="15" t="n"/>
      <c r="C33" s="4" t="n"/>
      <c r="D33" s="4" t="n"/>
      <c r="E33" s="4" t="n"/>
      <c r="F33" s="16" t="n"/>
      <c r="G33" s="4" t="n"/>
      <c r="H33" s="4" t="n"/>
      <c r="I33" s="4" t="n"/>
      <c r="J33" s="4" t="n"/>
    </row>
    <row r="34">
      <c r="A34" s="18">
        <f>IF(F34&lt;&gt;"",ROW()-4,"")</f>
        <v/>
      </c>
      <c r="B34" s="15" t="n"/>
      <c r="C34" s="4" t="n"/>
      <c r="D34" s="4" t="n"/>
      <c r="E34" s="4" t="n"/>
      <c r="F34" s="16" t="n"/>
      <c r="G34" s="4" t="n"/>
      <c r="H34" s="4" t="n"/>
      <c r="I34" s="4" t="n"/>
      <c r="J34" s="4" t="n"/>
    </row>
    <row r="35">
      <c r="A35" s="14">
        <f>IF(F35&lt;&gt;"",ROW()-4,"")</f>
        <v/>
      </c>
      <c r="B35" s="15" t="n"/>
      <c r="C35" s="4" t="n"/>
      <c r="D35" s="4" t="n"/>
      <c r="E35" s="4" t="n"/>
      <c r="F35" s="16" t="n"/>
      <c r="G35" s="4" t="n"/>
      <c r="H35" s="4" t="n"/>
      <c r="I35" s="4" t="n"/>
      <c r="J35" s="4" t="n"/>
    </row>
    <row r="36">
      <c r="A36" s="18">
        <f>IF(F36&lt;&gt;"",ROW()-4,"")</f>
        <v/>
      </c>
      <c r="B36" s="15" t="n"/>
      <c r="C36" s="4" t="n"/>
      <c r="D36" s="4" t="n"/>
      <c r="E36" s="4" t="n"/>
      <c r="F36" s="16" t="n"/>
      <c r="G36" s="4" t="n"/>
      <c r="H36" s="4" t="n"/>
      <c r="I36" s="4" t="n"/>
      <c r="J36" s="4" t="n"/>
    </row>
    <row r="37">
      <c r="A37" s="14">
        <f>IF(F37&lt;&gt;"",ROW()-4,"")</f>
        <v/>
      </c>
      <c r="B37" s="15" t="n"/>
      <c r="C37" s="4" t="n"/>
      <c r="D37" s="4" t="n"/>
      <c r="E37" s="4" t="n"/>
      <c r="F37" s="16" t="n"/>
      <c r="G37" s="4" t="n"/>
      <c r="H37" s="4" t="n"/>
      <c r="I37" s="4" t="n"/>
      <c r="J37" s="4" t="n"/>
    </row>
    <row r="38">
      <c r="A38" s="18">
        <f>IF(F38&lt;&gt;"",ROW()-4,"")</f>
        <v/>
      </c>
      <c r="B38" s="15" t="n"/>
      <c r="C38" s="4" t="n"/>
      <c r="D38" s="4" t="n"/>
      <c r="E38" s="4" t="n"/>
      <c r="F38" s="16" t="n"/>
      <c r="G38" s="4" t="n"/>
      <c r="H38" s="4" t="n"/>
      <c r="I38" s="4" t="n"/>
      <c r="J38" s="4" t="n"/>
    </row>
    <row r="39">
      <c r="A39" s="14">
        <f>IF(F39&lt;&gt;"",ROW()-4,"")</f>
        <v/>
      </c>
      <c r="B39" s="15" t="n"/>
      <c r="C39" s="4" t="n"/>
      <c r="D39" s="4" t="n"/>
      <c r="E39" s="4" t="n"/>
      <c r="F39" s="16" t="n"/>
      <c r="G39" s="4" t="n"/>
      <c r="H39" s="4" t="n"/>
      <c r="I39" s="4" t="n"/>
      <c r="J39" s="4" t="n"/>
    </row>
    <row r="40">
      <c r="A40" s="18">
        <f>IF(F40&lt;&gt;"",ROW()-4,"")</f>
        <v/>
      </c>
      <c r="B40" s="15" t="n"/>
      <c r="C40" s="4" t="n"/>
      <c r="D40" s="4" t="n"/>
      <c r="E40" s="4" t="n"/>
      <c r="F40" s="16" t="n"/>
      <c r="G40" s="4" t="n"/>
      <c r="H40" s="4" t="n"/>
      <c r="I40" s="4" t="n"/>
      <c r="J40" s="4" t="n"/>
    </row>
    <row r="41">
      <c r="A41" s="14">
        <f>IF(F41&lt;&gt;"",ROW()-4,"")</f>
        <v/>
      </c>
      <c r="B41" s="15" t="n"/>
      <c r="C41" s="4" t="n"/>
      <c r="D41" s="4" t="n"/>
      <c r="E41" s="4" t="n"/>
      <c r="F41" s="16" t="n"/>
      <c r="G41" s="4" t="n"/>
      <c r="H41" s="4" t="n"/>
      <c r="I41" s="4" t="n"/>
      <c r="J41" s="4" t="n"/>
    </row>
    <row r="42">
      <c r="A42" s="18">
        <f>IF(F42&lt;&gt;"",ROW()-4,"")</f>
        <v/>
      </c>
      <c r="B42" s="15" t="n"/>
      <c r="C42" s="4" t="n"/>
      <c r="D42" s="4" t="n"/>
      <c r="E42" s="4" t="n"/>
      <c r="F42" s="16" t="n"/>
      <c r="G42" s="4" t="n"/>
      <c r="H42" s="4" t="n"/>
      <c r="I42" s="4" t="n"/>
      <c r="J42" s="4" t="n"/>
    </row>
    <row r="43">
      <c r="A43" s="14">
        <f>IF(F43&lt;&gt;"",ROW()-4,"")</f>
        <v/>
      </c>
      <c r="B43" s="15" t="n"/>
      <c r="C43" s="4" t="n"/>
      <c r="D43" s="4" t="n"/>
      <c r="E43" s="4" t="n"/>
      <c r="F43" s="16" t="n"/>
      <c r="G43" s="4" t="n"/>
      <c r="H43" s="4" t="n"/>
      <c r="I43" s="4" t="n"/>
      <c r="J43" s="4" t="n"/>
    </row>
    <row r="44">
      <c r="A44" s="18">
        <f>IF(F44&lt;&gt;"",ROW()-4,"")</f>
        <v/>
      </c>
      <c r="B44" s="15" t="n"/>
      <c r="C44" s="4" t="n"/>
      <c r="D44" s="4" t="n"/>
      <c r="E44" s="4" t="n"/>
      <c r="F44" s="16" t="n"/>
      <c r="G44" s="4" t="n"/>
      <c r="H44" s="4" t="n"/>
      <c r="I44" s="4" t="n"/>
      <c r="J44" s="4" t="n"/>
    </row>
    <row r="45">
      <c r="A45" s="14">
        <f>IF(F45&lt;&gt;"",ROW()-4,"")</f>
        <v/>
      </c>
      <c r="B45" s="15" t="n"/>
      <c r="C45" s="4" t="n"/>
      <c r="D45" s="4" t="n"/>
      <c r="E45" s="4" t="n"/>
      <c r="F45" s="16" t="n"/>
      <c r="G45" s="4" t="n"/>
      <c r="H45" s="4" t="n"/>
      <c r="I45" s="4" t="n"/>
      <c r="J45" s="4" t="n"/>
    </row>
    <row r="46">
      <c r="A46" s="18">
        <f>IF(F46&lt;&gt;"",ROW()-4,"")</f>
        <v/>
      </c>
      <c r="B46" s="15" t="n"/>
      <c r="C46" s="4" t="n"/>
      <c r="D46" s="4" t="n"/>
      <c r="E46" s="4" t="n"/>
      <c r="F46" s="16" t="n"/>
      <c r="G46" s="4" t="n"/>
      <c r="H46" s="4" t="n"/>
      <c r="I46" s="4" t="n"/>
      <c r="J46" s="4" t="n"/>
    </row>
    <row r="47">
      <c r="A47" s="14">
        <f>IF(F47&lt;&gt;"",ROW()-4,"")</f>
        <v/>
      </c>
      <c r="B47" s="15" t="n"/>
      <c r="C47" s="4" t="n"/>
      <c r="D47" s="4" t="n"/>
      <c r="E47" s="4" t="n"/>
      <c r="F47" s="16" t="n"/>
      <c r="G47" s="4" t="n"/>
      <c r="H47" s="4" t="n"/>
      <c r="I47" s="4" t="n"/>
      <c r="J47" s="4" t="n"/>
    </row>
    <row r="48">
      <c r="A48" s="18">
        <f>IF(F48&lt;&gt;"",ROW()-4,"")</f>
        <v/>
      </c>
      <c r="B48" s="15" t="n"/>
      <c r="C48" s="4" t="n"/>
      <c r="D48" s="4" t="n"/>
      <c r="E48" s="4" t="n"/>
      <c r="F48" s="16" t="n"/>
      <c r="G48" s="4" t="n"/>
      <c r="H48" s="4" t="n"/>
      <c r="I48" s="4" t="n"/>
      <c r="J48" s="4" t="n"/>
    </row>
    <row r="49">
      <c r="A49" s="14">
        <f>IF(F49&lt;&gt;"",ROW()-4,"")</f>
        <v/>
      </c>
      <c r="B49" s="15" t="n"/>
      <c r="C49" s="4" t="n"/>
      <c r="D49" s="4" t="n"/>
      <c r="E49" s="4" t="n"/>
      <c r="F49" s="16" t="n"/>
      <c r="G49" s="4" t="n"/>
      <c r="H49" s="4" t="n"/>
      <c r="I49" s="4" t="n"/>
      <c r="J49" s="4" t="n"/>
    </row>
    <row r="50">
      <c r="A50" s="18">
        <f>IF(F50&lt;&gt;"",ROW()-4,"")</f>
        <v/>
      </c>
      <c r="B50" s="15" t="n"/>
      <c r="C50" s="4" t="n"/>
      <c r="D50" s="4" t="n"/>
      <c r="E50" s="4" t="n"/>
      <c r="F50" s="16" t="n"/>
      <c r="G50" s="4" t="n"/>
      <c r="H50" s="4" t="n"/>
      <c r="I50" s="4" t="n"/>
      <c r="J50" s="4" t="n"/>
    </row>
    <row r="51">
      <c r="A51" s="14">
        <f>IF(F51&lt;&gt;"",ROW()-4,"")</f>
        <v/>
      </c>
      <c r="B51" s="15" t="n"/>
      <c r="C51" s="4" t="n"/>
      <c r="D51" s="4" t="n"/>
      <c r="E51" s="4" t="n"/>
      <c r="F51" s="16" t="n"/>
      <c r="G51" s="4" t="n"/>
      <c r="H51" s="4" t="n"/>
      <c r="I51" s="4" t="n"/>
      <c r="J51" s="4" t="n"/>
    </row>
    <row r="52">
      <c r="A52" s="18">
        <f>IF(F52&lt;&gt;"",ROW()-4,"")</f>
        <v/>
      </c>
      <c r="B52" s="15" t="n"/>
      <c r="C52" s="4" t="n"/>
      <c r="D52" s="4" t="n"/>
      <c r="E52" s="4" t="n"/>
      <c r="F52" s="16" t="n"/>
      <c r="G52" s="4" t="n"/>
      <c r="H52" s="4" t="n"/>
      <c r="I52" s="4" t="n"/>
      <c r="J52" s="4" t="n"/>
    </row>
    <row r="53">
      <c r="A53" s="14">
        <f>IF(F53&lt;&gt;"",ROW()-4,"")</f>
        <v/>
      </c>
      <c r="B53" s="15" t="n"/>
      <c r="C53" s="4" t="n"/>
      <c r="D53" s="4" t="n"/>
      <c r="E53" s="4" t="n"/>
      <c r="F53" s="16" t="n"/>
      <c r="G53" s="4" t="n"/>
      <c r="H53" s="4" t="n"/>
      <c r="I53" s="4" t="n"/>
      <c r="J53" s="4" t="n"/>
    </row>
    <row r="54">
      <c r="A54" s="18">
        <f>IF(F54&lt;&gt;"",ROW()-4,"")</f>
        <v/>
      </c>
      <c r="B54" s="15" t="n"/>
      <c r="C54" s="4" t="n"/>
      <c r="D54" s="4" t="n"/>
      <c r="E54" s="4" t="n"/>
      <c r="F54" s="16" t="n"/>
      <c r="G54" s="4" t="n"/>
      <c r="H54" s="4" t="n"/>
      <c r="I54" s="4" t="n"/>
      <c r="J54" s="4" t="n"/>
    </row>
    <row r="55">
      <c r="A55" s="14">
        <f>IF(F55&lt;&gt;"",ROW()-4,"")</f>
        <v/>
      </c>
      <c r="B55" s="15" t="n"/>
      <c r="C55" s="4" t="n"/>
      <c r="D55" s="4" t="n"/>
      <c r="E55" s="4" t="n"/>
      <c r="F55" s="16" t="n"/>
      <c r="G55" s="4" t="n"/>
      <c r="H55" s="4" t="n"/>
      <c r="I55" s="4" t="n"/>
      <c r="J55" s="4" t="n"/>
    </row>
    <row r="56">
      <c r="A56" s="18">
        <f>IF(F56&lt;&gt;"",ROW()-4,"")</f>
        <v/>
      </c>
      <c r="B56" s="15" t="n"/>
      <c r="C56" s="4" t="n"/>
      <c r="D56" s="4" t="n"/>
      <c r="E56" s="4" t="n"/>
      <c r="F56" s="16" t="n"/>
      <c r="G56" s="4" t="n"/>
      <c r="H56" s="4" t="n"/>
      <c r="I56" s="4" t="n"/>
      <c r="J56" s="4" t="n"/>
    </row>
    <row r="57">
      <c r="A57" s="14">
        <f>IF(F57&lt;&gt;"",ROW()-4,"")</f>
        <v/>
      </c>
      <c r="B57" s="15" t="n"/>
      <c r="C57" s="4" t="n"/>
      <c r="D57" s="4" t="n"/>
      <c r="E57" s="4" t="n"/>
      <c r="F57" s="16" t="n"/>
      <c r="G57" s="4" t="n"/>
      <c r="H57" s="4" t="n"/>
      <c r="I57" s="4" t="n"/>
      <c r="J57" s="4" t="n"/>
    </row>
    <row r="58">
      <c r="A58" s="18">
        <f>IF(F58&lt;&gt;"",ROW()-4,"")</f>
        <v/>
      </c>
      <c r="B58" s="15" t="n"/>
      <c r="C58" s="4" t="n"/>
      <c r="D58" s="4" t="n"/>
      <c r="E58" s="4" t="n"/>
      <c r="F58" s="16" t="n"/>
      <c r="G58" s="4" t="n"/>
      <c r="H58" s="4" t="n"/>
      <c r="I58" s="4" t="n"/>
      <c r="J58" s="4" t="n"/>
    </row>
    <row r="59">
      <c r="A59" s="14">
        <f>IF(F59&lt;&gt;"",ROW()-4,"")</f>
        <v/>
      </c>
      <c r="B59" s="15" t="n"/>
      <c r="C59" s="4" t="n"/>
      <c r="D59" s="4" t="n"/>
      <c r="E59" s="4" t="n"/>
      <c r="F59" s="16" t="n"/>
      <c r="G59" s="4" t="n"/>
      <c r="H59" s="4" t="n"/>
      <c r="I59" s="4" t="n"/>
      <c r="J59" s="4" t="n"/>
    </row>
    <row r="60">
      <c r="A60" s="18">
        <f>IF(F60&lt;&gt;"",ROW()-4,"")</f>
        <v/>
      </c>
      <c r="B60" s="15" t="n"/>
      <c r="C60" s="4" t="n"/>
      <c r="D60" s="4" t="n"/>
      <c r="E60" s="4" t="n"/>
      <c r="F60" s="16" t="n"/>
      <c r="G60" s="4" t="n"/>
      <c r="H60" s="4" t="n"/>
      <c r="I60" s="4" t="n"/>
      <c r="J60" s="4" t="n"/>
    </row>
    <row r="61">
      <c r="A61" s="14">
        <f>IF(F61&lt;&gt;"",ROW()-4,"")</f>
        <v/>
      </c>
      <c r="B61" s="15" t="n"/>
      <c r="C61" s="4" t="n"/>
      <c r="D61" s="4" t="n"/>
      <c r="E61" s="4" t="n"/>
      <c r="F61" s="16" t="n"/>
      <c r="G61" s="4" t="n"/>
      <c r="H61" s="4" t="n"/>
      <c r="I61" s="4" t="n"/>
      <c r="J61" s="4" t="n"/>
    </row>
    <row r="62">
      <c r="A62" s="18">
        <f>IF(F62&lt;&gt;"",ROW()-4,"")</f>
        <v/>
      </c>
      <c r="B62" s="15" t="n"/>
      <c r="C62" s="4" t="n"/>
      <c r="D62" s="4" t="n"/>
      <c r="E62" s="4" t="n"/>
      <c r="F62" s="16" t="n"/>
      <c r="G62" s="4" t="n"/>
      <c r="H62" s="4" t="n"/>
      <c r="I62" s="4" t="n"/>
      <c r="J62" s="4" t="n"/>
    </row>
    <row r="63">
      <c r="A63" s="14">
        <f>IF(F63&lt;&gt;"",ROW()-4,"")</f>
        <v/>
      </c>
      <c r="B63" s="15" t="n"/>
      <c r="C63" s="4" t="n"/>
      <c r="D63" s="4" t="n"/>
      <c r="E63" s="4" t="n"/>
      <c r="F63" s="16" t="n"/>
      <c r="G63" s="4" t="n"/>
      <c r="H63" s="4" t="n"/>
      <c r="I63" s="4" t="n"/>
      <c r="J63" s="4" t="n"/>
    </row>
    <row r="64">
      <c r="A64" s="18">
        <f>IF(F64&lt;&gt;"",ROW()-4,"")</f>
        <v/>
      </c>
      <c r="B64" s="15" t="n"/>
      <c r="C64" s="4" t="n"/>
      <c r="D64" s="4" t="n"/>
      <c r="E64" s="4" t="n"/>
      <c r="F64" s="16" t="n"/>
      <c r="G64" s="4" t="n"/>
      <c r="H64" s="4" t="n"/>
      <c r="I64" s="4" t="n"/>
      <c r="J64" s="4" t="n"/>
    </row>
    <row r="65">
      <c r="A65" s="14">
        <f>IF(F65&lt;&gt;"",ROW()-4,"")</f>
        <v/>
      </c>
      <c r="B65" s="15" t="n"/>
      <c r="C65" s="4" t="n"/>
      <c r="D65" s="4" t="n"/>
      <c r="E65" s="4" t="n"/>
      <c r="F65" s="16" t="n"/>
      <c r="G65" s="4" t="n"/>
      <c r="H65" s="4" t="n"/>
      <c r="I65" s="4" t="n"/>
      <c r="J65" s="4" t="n"/>
    </row>
    <row r="66">
      <c r="A66" s="18">
        <f>IF(F66&lt;&gt;"",ROW()-4,"")</f>
        <v/>
      </c>
      <c r="B66" s="15" t="n"/>
      <c r="C66" s="4" t="n"/>
      <c r="D66" s="4" t="n"/>
      <c r="E66" s="4" t="n"/>
      <c r="F66" s="16" t="n"/>
      <c r="G66" s="4" t="n"/>
      <c r="H66" s="4" t="n"/>
      <c r="I66" s="4" t="n"/>
      <c r="J66" s="4" t="n"/>
    </row>
    <row r="67">
      <c r="A67" s="14">
        <f>IF(F67&lt;&gt;"",ROW()-4,"")</f>
        <v/>
      </c>
      <c r="B67" s="15" t="n"/>
      <c r="C67" s="4" t="n"/>
      <c r="D67" s="4" t="n"/>
      <c r="E67" s="4" t="n"/>
      <c r="F67" s="16" t="n"/>
      <c r="G67" s="4" t="n"/>
      <c r="H67" s="4" t="n"/>
      <c r="I67" s="4" t="n"/>
      <c r="J67" s="4" t="n"/>
    </row>
    <row r="68">
      <c r="A68" s="18">
        <f>IF(F68&lt;&gt;"",ROW()-4,"")</f>
        <v/>
      </c>
      <c r="B68" s="15" t="n"/>
      <c r="C68" s="4" t="n"/>
      <c r="D68" s="4" t="n"/>
      <c r="E68" s="4" t="n"/>
      <c r="F68" s="16" t="n"/>
      <c r="G68" s="4" t="n"/>
      <c r="H68" s="4" t="n"/>
      <c r="I68" s="4" t="n"/>
      <c r="J68" s="4" t="n"/>
    </row>
    <row r="69">
      <c r="A69" s="14">
        <f>IF(F69&lt;&gt;"",ROW()-4,"")</f>
        <v/>
      </c>
      <c r="B69" s="15" t="n"/>
      <c r="C69" s="4" t="n"/>
      <c r="D69" s="4" t="n"/>
      <c r="E69" s="4" t="n"/>
      <c r="F69" s="16" t="n"/>
      <c r="G69" s="4" t="n"/>
      <c r="H69" s="4" t="n"/>
      <c r="I69" s="4" t="n"/>
      <c r="J69" s="4" t="n"/>
    </row>
    <row r="70">
      <c r="A70" s="18">
        <f>IF(F70&lt;&gt;"",ROW()-4,"")</f>
        <v/>
      </c>
      <c r="B70" s="15" t="n"/>
      <c r="C70" s="4" t="n"/>
      <c r="D70" s="4" t="n"/>
      <c r="E70" s="4" t="n"/>
      <c r="F70" s="16" t="n"/>
      <c r="G70" s="4" t="n"/>
      <c r="H70" s="4" t="n"/>
      <c r="I70" s="4" t="n"/>
      <c r="J70" s="4" t="n"/>
    </row>
    <row r="71">
      <c r="A71" s="14">
        <f>IF(F71&lt;&gt;"",ROW()-4,"")</f>
        <v/>
      </c>
      <c r="B71" s="15" t="n"/>
      <c r="C71" s="4" t="n"/>
      <c r="D71" s="4" t="n"/>
      <c r="E71" s="4" t="n"/>
      <c r="F71" s="16" t="n"/>
      <c r="G71" s="4" t="n"/>
      <c r="H71" s="4" t="n"/>
      <c r="I71" s="4" t="n"/>
      <c r="J71" s="4" t="n"/>
    </row>
    <row r="72">
      <c r="A72" s="18">
        <f>IF(F72&lt;&gt;"",ROW()-4,"")</f>
        <v/>
      </c>
      <c r="B72" s="15" t="n"/>
      <c r="C72" s="4" t="n"/>
      <c r="D72" s="4" t="n"/>
      <c r="E72" s="4" t="n"/>
      <c r="F72" s="16" t="n"/>
      <c r="G72" s="4" t="n"/>
      <c r="H72" s="4" t="n"/>
      <c r="I72" s="4" t="n"/>
      <c r="J72" s="4" t="n"/>
    </row>
    <row r="73">
      <c r="A73" s="14">
        <f>IF(F73&lt;&gt;"",ROW()-4,"")</f>
        <v/>
      </c>
      <c r="B73" s="15" t="n"/>
      <c r="C73" s="4" t="n"/>
      <c r="D73" s="4" t="n"/>
      <c r="E73" s="4" t="n"/>
      <c r="F73" s="16" t="n"/>
      <c r="G73" s="4" t="n"/>
      <c r="H73" s="4" t="n"/>
      <c r="I73" s="4" t="n"/>
      <c r="J73" s="4" t="n"/>
    </row>
    <row r="74">
      <c r="A74" s="18">
        <f>IF(F74&lt;&gt;"",ROW()-4,"")</f>
        <v/>
      </c>
      <c r="B74" s="15" t="n"/>
      <c r="C74" s="4" t="n"/>
      <c r="D74" s="4" t="n"/>
      <c r="E74" s="4" t="n"/>
      <c r="F74" s="16" t="n"/>
      <c r="G74" s="4" t="n"/>
      <c r="H74" s="4" t="n"/>
      <c r="I74" s="4" t="n"/>
      <c r="J74" s="4" t="n"/>
    </row>
    <row r="75">
      <c r="A75" s="14">
        <f>IF(F75&lt;&gt;"",ROW()-4,"")</f>
        <v/>
      </c>
      <c r="B75" s="15" t="n"/>
      <c r="C75" s="4" t="n"/>
      <c r="D75" s="4" t="n"/>
      <c r="E75" s="4" t="n"/>
      <c r="F75" s="16" t="n"/>
      <c r="G75" s="4" t="n"/>
      <c r="H75" s="4" t="n"/>
      <c r="I75" s="4" t="n"/>
      <c r="J75" s="4" t="n"/>
    </row>
    <row r="76">
      <c r="A76" s="18">
        <f>IF(F76&lt;&gt;"",ROW()-4,"")</f>
        <v/>
      </c>
      <c r="B76" s="15" t="n"/>
      <c r="C76" s="4" t="n"/>
      <c r="D76" s="4" t="n"/>
      <c r="E76" s="4" t="n"/>
      <c r="F76" s="16" t="n"/>
      <c r="G76" s="4" t="n"/>
      <c r="H76" s="4" t="n"/>
      <c r="I76" s="4" t="n"/>
      <c r="J76" s="4" t="n"/>
    </row>
    <row r="77">
      <c r="A77" s="14">
        <f>IF(F77&lt;&gt;"",ROW()-4,"")</f>
        <v/>
      </c>
      <c r="B77" s="15" t="n"/>
      <c r="C77" s="4" t="n"/>
      <c r="D77" s="4" t="n"/>
      <c r="E77" s="4" t="n"/>
      <c r="F77" s="16" t="n"/>
      <c r="G77" s="4" t="n"/>
      <c r="H77" s="4" t="n"/>
      <c r="I77" s="4" t="n"/>
      <c r="J77" s="4" t="n"/>
    </row>
    <row r="78">
      <c r="A78" s="18">
        <f>IF(F78&lt;&gt;"",ROW()-4,"")</f>
        <v/>
      </c>
      <c r="B78" s="15" t="n"/>
      <c r="C78" s="4" t="n"/>
      <c r="D78" s="4" t="n"/>
      <c r="E78" s="4" t="n"/>
      <c r="F78" s="16" t="n"/>
      <c r="G78" s="4" t="n"/>
      <c r="H78" s="4" t="n"/>
      <c r="I78" s="4" t="n"/>
      <c r="J78" s="4" t="n"/>
    </row>
    <row r="79">
      <c r="A79" s="14">
        <f>IF(F79&lt;&gt;"",ROW()-4,"")</f>
        <v/>
      </c>
      <c r="B79" s="15" t="n"/>
      <c r="C79" s="4" t="n"/>
      <c r="D79" s="4" t="n"/>
      <c r="E79" s="4" t="n"/>
      <c r="F79" s="16" t="n"/>
      <c r="G79" s="4" t="n"/>
      <c r="H79" s="4" t="n"/>
      <c r="I79" s="4" t="n"/>
      <c r="J79" s="4" t="n"/>
    </row>
    <row r="80">
      <c r="A80" s="18">
        <f>IF(F80&lt;&gt;"",ROW()-4,"")</f>
        <v/>
      </c>
      <c r="B80" s="15" t="n"/>
      <c r="C80" s="4" t="n"/>
      <c r="D80" s="4" t="n"/>
      <c r="E80" s="4" t="n"/>
      <c r="F80" s="16" t="n"/>
      <c r="G80" s="4" t="n"/>
      <c r="H80" s="4" t="n"/>
      <c r="I80" s="4" t="n"/>
      <c r="J80" s="4" t="n"/>
    </row>
    <row r="81">
      <c r="A81" s="14">
        <f>IF(F81&lt;&gt;"",ROW()-4,"")</f>
        <v/>
      </c>
      <c r="B81" s="15" t="n"/>
      <c r="C81" s="4" t="n"/>
      <c r="D81" s="4" t="n"/>
      <c r="E81" s="4" t="n"/>
      <c r="F81" s="16" t="n"/>
      <c r="G81" s="4" t="n"/>
      <c r="H81" s="4" t="n"/>
      <c r="I81" s="4" t="n"/>
      <c r="J81" s="4" t="n"/>
    </row>
    <row r="82">
      <c r="A82" s="18">
        <f>IF(F82&lt;&gt;"",ROW()-4,"")</f>
        <v/>
      </c>
      <c r="B82" s="15" t="n"/>
      <c r="C82" s="4" t="n"/>
      <c r="D82" s="4" t="n"/>
      <c r="E82" s="4" t="n"/>
      <c r="F82" s="16" t="n"/>
      <c r="G82" s="4" t="n"/>
      <c r="H82" s="4" t="n"/>
      <c r="I82" s="4" t="n"/>
      <c r="J82" s="4" t="n"/>
    </row>
    <row r="83">
      <c r="A83" s="14">
        <f>IF(F83&lt;&gt;"",ROW()-4,"")</f>
        <v/>
      </c>
      <c r="B83" s="15" t="n"/>
      <c r="C83" s="4" t="n"/>
      <c r="D83" s="4" t="n"/>
      <c r="E83" s="4" t="n"/>
      <c r="F83" s="16" t="n"/>
      <c r="G83" s="4" t="n"/>
      <c r="H83" s="4" t="n"/>
      <c r="I83" s="4" t="n"/>
      <c r="J83" s="4" t="n"/>
    </row>
    <row r="84">
      <c r="A84" s="18">
        <f>IF(F84&lt;&gt;"",ROW()-4,"")</f>
        <v/>
      </c>
      <c r="B84" s="15" t="n"/>
      <c r="C84" s="4" t="n"/>
      <c r="D84" s="4" t="n"/>
      <c r="E84" s="4" t="n"/>
      <c r="F84" s="16" t="n"/>
      <c r="G84" s="4" t="n"/>
      <c r="H84" s="4" t="n"/>
      <c r="I84" s="4" t="n"/>
      <c r="J84" s="4" t="n"/>
    </row>
    <row r="85">
      <c r="A85" s="14">
        <f>IF(F85&lt;&gt;"",ROW()-4,"")</f>
        <v/>
      </c>
      <c r="B85" s="15" t="n"/>
      <c r="C85" s="4" t="n"/>
      <c r="D85" s="4" t="n"/>
      <c r="E85" s="4" t="n"/>
      <c r="F85" s="16" t="n"/>
      <c r="G85" s="4" t="n"/>
      <c r="H85" s="4" t="n"/>
      <c r="I85" s="4" t="n"/>
      <c r="J85" s="4" t="n"/>
    </row>
    <row r="86">
      <c r="A86" s="18">
        <f>IF(F86&lt;&gt;"",ROW()-4,"")</f>
        <v/>
      </c>
      <c r="B86" s="15" t="n"/>
      <c r="C86" s="4" t="n"/>
      <c r="D86" s="4" t="n"/>
      <c r="E86" s="4" t="n"/>
      <c r="F86" s="16" t="n"/>
      <c r="G86" s="4" t="n"/>
      <c r="H86" s="4" t="n"/>
      <c r="I86" s="4" t="n"/>
      <c r="J86" s="4" t="n"/>
    </row>
    <row r="87">
      <c r="A87" s="14">
        <f>IF(F87&lt;&gt;"",ROW()-4,"")</f>
        <v/>
      </c>
      <c r="B87" s="15" t="n"/>
      <c r="C87" s="4" t="n"/>
      <c r="D87" s="4" t="n"/>
      <c r="E87" s="4" t="n"/>
      <c r="F87" s="16" t="n"/>
      <c r="G87" s="4" t="n"/>
      <c r="H87" s="4" t="n"/>
      <c r="I87" s="4" t="n"/>
      <c r="J87" s="4" t="n"/>
    </row>
    <row r="88">
      <c r="A88" s="18">
        <f>IF(F88&lt;&gt;"",ROW()-4,"")</f>
        <v/>
      </c>
      <c r="B88" s="15" t="n"/>
      <c r="C88" s="4" t="n"/>
      <c r="D88" s="4" t="n"/>
      <c r="E88" s="4" t="n"/>
      <c r="F88" s="16" t="n"/>
      <c r="G88" s="4" t="n"/>
      <c r="H88" s="4" t="n"/>
      <c r="I88" s="4" t="n"/>
      <c r="J88" s="4" t="n"/>
    </row>
    <row r="89">
      <c r="A89" s="14">
        <f>IF(F89&lt;&gt;"",ROW()-4,"")</f>
        <v/>
      </c>
      <c r="B89" s="15" t="n"/>
      <c r="C89" s="4" t="n"/>
      <c r="D89" s="4" t="n"/>
      <c r="E89" s="4" t="n"/>
      <c r="F89" s="16" t="n"/>
      <c r="G89" s="4" t="n"/>
      <c r="H89" s="4" t="n"/>
      <c r="I89" s="4" t="n"/>
      <c r="J89" s="4" t="n"/>
    </row>
    <row r="90">
      <c r="A90" s="18">
        <f>IF(F90&lt;&gt;"",ROW()-4,"")</f>
        <v/>
      </c>
      <c r="B90" s="15" t="n"/>
      <c r="C90" s="4" t="n"/>
      <c r="D90" s="4" t="n"/>
      <c r="E90" s="4" t="n"/>
      <c r="F90" s="16" t="n"/>
      <c r="G90" s="4" t="n"/>
      <c r="H90" s="4" t="n"/>
      <c r="I90" s="4" t="n"/>
      <c r="J90" s="4" t="n"/>
    </row>
    <row r="91">
      <c r="A91" s="14">
        <f>IF(F91&lt;&gt;"",ROW()-4,"")</f>
        <v/>
      </c>
      <c r="B91" s="15" t="n"/>
      <c r="C91" s="4" t="n"/>
      <c r="D91" s="4" t="n"/>
      <c r="E91" s="4" t="n"/>
      <c r="F91" s="16" t="n"/>
      <c r="G91" s="4" t="n"/>
      <c r="H91" s="4" t="n"/>
      <c r="I91" s="4" t="n"/>
      <c r="J91" s="4" t="n"/>
    </row>
    <row r="92">
      <c r="A92" s="18">
        <f>IF(F92&lt;&gt;"",ROW()-4,"")</f>
        <v/>
      </c>
      <c r="B92" s="15" t="n"/>
      <c r="C92" s="4" t="n"/>
      <c r="D92" s="4" t="n"/>
      <c r="E92" s="4" t="n"/>
      <c r="F92" s="16" t="n"/>
      <c r="G92" s="4" t="n"/>
      <c r="H92" s="4" t="n"/>
      <c r="I92" s="4" t="n"/>
      <c r="J92" s="4" t="n"/>
    </row>
    <row r="93">
      <c r="A93" s="14">
        <f>IF(F93&lt;&gt;"",ROW()-4,"")</f>
        <v/>
      </c>
      <c r="B93" s="15" t="n"/>
      <c r="C93" s="4" t="n"/>
      <c r="D93" s="4" t="n"/>
      <c r="E93" s="4" t="n"/>
      <c r="F93" s="16" t="n"/>
      <c r="G93" s="4" t="n"/>
      <c r="H93" s="4" t="n"/>
      <c r="I93" s="4" t="n"/>
      <c r="J93" s="4" t="n"/>
    </row>
    <row r="94">
      <c r="A94" s="18">
        <f>IF(F94&lt;&gt;"",ROW()-4,"")</f>
        <v/>
      </c>
      <c r="B94" s="15" t="n"/>
      <c r="C94" s="4" t="n"/>
      <c r="D94" s="4" t="n"/>
      <c r="E94" s="4" t="n"/>
      <c r="F94" s="16" t="n"/>
      <c r="G94" s="4" t="n"/>
      <c r="H94" s="4" t="n"/>
      <c r="I94" s="4" t="n"/>
      <c r="J94" s="4" t="n"/>
    </row>
    <row r="95">
      <c r="A95" s="14">
        <f>IF(F95&lt;&gt;"",ROW()-4,"")</f>
        <v/>
      </c>
      <c r="B95" s="15" t="n"/>
      <c r="C95" s="4" t="n"/>
      <c r="D95" s="4" t="n"/>
      <c r="E95" s="4" t="n"/>
      <c r="F95" s="16" t="n"/>
      <c r="G95" s="4" t="n"/>
      <c r="H95" s="4" t="n"/>
      <c r="I95" s="4" t="n"/>
      <c r="J95" s="4" t="n"/>
    </row>
    <row r="96">
      <c r="A96" s="18">
        <f>IF(F96&lt;&gt;"",ROW()-4,"")</f>
        <v/>
      </c>
      <c r="B96" s="15" t="n"/>
      <c r="C96" s="4" t="n"/>
      <c r="D96" s="4" t="n"/>
      <c r="E96" s="4" t="n"/>
      <c r="F96" s="16" t="n"/>
      <c r="G96" s="4" t="n"/>
      <c r="H96" s="4" t="n"/>
      <c r="I96" s="4" t="n"/>
      <c r="J96" s="4" t="n"/>
    </row>
    <row r="97">
      <c r="A97" s="14">
        <f>IF(F97&lt;&gt;"",ROW()-4,"")</f>
        <v/>
      </c>
      <c r="B97" s="15" t="n"/>
      <c r="C97" s="4" t="n"/>
      <c r="D97" s="4" t="n"/>
      <c r="E97" s="4" t="n"/>
      <c r="F97" s="16" t="n"/>
      <c r="G97" s="4" t="n"/>
      <c r="H97" s="4" t="n"/>
      <c r="I97" s="4" t="n"/>
      <c r="J97" s="4" t="n"/>
    </row>
    <row r="98">
      <c r="A98" s="18">
        <f>IF(F98&lt;&gt;"",ROW()-4,"")</f>
        <v/>
      </c>
      <c r="B98" s="15" t="n"/>
      <c r="C98" s="4" t="n"/>
      <c r="D98" s="4" t="n"/>
      <c r="E98" s="4" t="n"/>
      <c r="F98" s="16" t="n"/>
      <c r="G98" s="4" t="n"/>
      <c r="H98" s="4" t="n"/>
      <c r="I98" s="4" t="n"/>
      <c r="J98" s="4" t="n"/>
    </row>
    <row r="99">
      <c r="A99" s="14">
        <f>IF(F99&lt;&gt;"",ROW()-4,"")</f>
        <v/>
      </c>
      <c r="B99" s="15" t="n"/>
      <c r="C99" s="4" t="n"/>
      <c r="D99" s="4" t="n"/>
      <c r="E99" s="4" t="n"/>
      <c r="F99" s="16" t="n"/>
      <c r="G99" s="4" t="n"/>
      <c r="H99" s="4" t="n"/>
      <c r="I99" s="4" t="n"/>
      <c r="J99" s="4" t="n"/>
    </row>
    <row r="100">
      <c r="A100" s="18">
        <f>IF(F100&lt;&gt;"",ROW()-4,"")</f>
        <v/>
      </c>
      <c r="B100" s="15" t="n"/>
      <c r="C100" s="4" t="n"/>
      <c r="D100" s="4" t="n"/>
      <c r="E100" s="4" t="n"/>
      <c r="F100" s="16" t="n"/>
      <c r="G100" s="4" t="n"/>
      <c r="H100" s="4" t="n"/>
      <c r="I100" s="4" t="n"/>
      <c r="J100" s="4" t="n"/>
    </row>
    <row r="101">
      <c r="A101" s="14">
        <f>IF(F101&lt;&gt;"",ROW()-4,"")</f>
        <v/>
      </c>
      <c r="B101" s="15" t="n"/>
      <c r="C101" s="4" t="n"/>
      <c r="D101" s="4" t="n"/>
      <c r="E101" s="4" t="n"/>
      <c r="F101" s="16" t="n"/>
      <c r="G101" s="4" t="n"/>
      <c r="H101" s="4" t="n"/>
      <c r="I101" s="4" t="n"/>
      <c r="J101" s="4" t="n"/>
    </row>
    <row r="102">
      <c r="A102" s="18">
        <f>IF(F102&lt;&gt;"",ROW()-4,"")</f>
        <v/>
      </c>
      <c r="B102" s="15" t="n"/>
      <c r="C102" s="4" t="n"/>
      <c r="D102" s="4" t="n"/>
      <c r="E102" s="4" t="n"/>
      <c r="F102" s="16" t="n"/>
      <c r="G102" s="4" t="n"/>
      <c r="H102" s="4" t="n"/>
      <c r="I102" s="4" t="n"/>
      <c r="J102" s="4" t="n"/>
    </row>
    <row r="103">
      <c r="A103" s="14">
        <f>IF(F103&lt;&gt;"",ROW()-4,"")</f>
        <v/>
      </c>
      <c r="B103" s="15" t="n"/>
      <c r="C103" s="4" t="n"/>
      <c r="D103" s="4" t="n"/>
      <c r="E103" s="4" t="n"/>
      <c r="F103" s="16" t="n"/>
      <c r="G103" s="4" t="n"/>
      <c r="H103" s="4" t="n"/>
      <c r="I103" s="4" t="n"/>
      <c r="J103" s="4" t="n"/>
    </row>
    <row r="104">
      <c r="A104" s="18">
        <f>IF(F104&lt;&gt;"",ROW()-4,"")</f>
        <v/>
      </c>
      <c r="B104" s="15" t="n"/>
      <c r="C104" s="4" t="n"/>
      <c r="D104" s="4" t="n"/>
      <c r="E104" s="4" t="n"/>
      <c r="F104" s="16" t="n"/>
      <c r="G104" s="4" t="n"/>
      <c r="H104" s="4" t="n"/>
      <c r="I104" s="4" t="n"/>
      <c r="J104" s="4" t="n"/>
    </row>
    <row r="105">
      <c r="A105" s="14">
        <f>IF(F105&lt;&gt;"",ROW()-4,"")</f>
        <v/>
      </c>
      <c r="B105" s="15" t="n"/>
      <c r="C105" s="4" t="n"/>
      <c r="D105" s="4" t="n"/>
      <c r="E105" s="4" t="n"/>
      <c r="F105" s="16" t="n"/>
      <c r="G105" s="4" t="n"/>
      <c r="H105" s="4" t="n"/>
      <c r="I105" s="4" t="n"/>
      <c r="J105" s="4" t="n"/>
    </row>
    <row r="106">
      <c r="A106" s="18">
        <f>IF(F106&lt;&gt;"",ROW()-4,"")</f>
        <v/>
      </c>
      <c r="B106" s="15" t="n"/>
      <c r="C106" s="4" t="n"/>
      <c r="D106" s="4" t="n"/>
      <c r="E106" s="4" t="n"/>
      <c r="F106" s="16" t="n"/>
      <c r="G106" s="4" t="n"/>
      <c r="H106" s="4" t="n"/>
      <c r="I106" s="4" t="n"/>
      <c r="J106" s="4" t="n"/>
    </row>
    <row r="107">
      <c r="A107" s="14">
        <f>IF(F107&lt;&gt;"",ROW()-4,"")</f>
        <v/>
      </c>
      <c r="B107" s="15" t="n"/>
      <c r="C107" s="4" t="n"/>
      <c r="D107" s="4" t="n"/>
      <c r="E107" s="4" t="n"/>
      <c r="F107" s="16" t="n"/>
      <c r="G107" s="4" t="n"/>
      <c r="H107" s="4" t="n"/>
      <c r="I107" s="4" t="n"/>
      <c r="J107" s="4" t="n"/>
    </row>
    <row r="108">
      <c r="A108" s="18">
        <f>IF(F108&lt;&gt;"",ROW()-4,"")</f>
        <v/>
      </c>
      <c r="B108" s="15" t="n"/>
      <c r="C108" s="4" t="n"/>
      <c r="D108" s="4" t="n"/>
      <c r="E108" s="4" t="n"/>
      <c r="F108" s="16" t="n"/>
      <c r="G108" s="4" t="n"/>
      <c r="H108" s="4" t="n"/>
      <c r="I108" s="4" t="n"/>
      <c r="J108" s="4" t="n"/>
    </row>
    <row r="109">
      <c r="A109" s="14">
        <f>IF(F109&lt;&gt;"",ROW()-4,"")</f>
        <v/>
      </c>
      <c r="B109" s="15" t="n"/>
      <c r="C109" s="4" t="n"/>
      <c r="D109" s="4" t="n"/>
      <c r="E109" s="4" t="n"/>
      <c r="F109" s="16" t="n"/>
      <c r="G109" s="4" t="n"/>
      <c r="H109" s="4" t="n"/>
      <c r="I109" s="4" t="n"/>
      <c r="J109" s="4" t="n"/>
    </row>
    <row r="110">
      <c r="A110" s="18">
        <f>IF(F110&lt;&gt;"",ROW()-4,"")</f>
        <v/>
      </c>
      <c r="B110" s="15" t="n"/>
      <c r="C110" s="4" t="n"/>
      <c r="D110" s="4" t="n"/>
      <c r="E110" s="4" t="n"/>
      <c r="F110" s="16" t="n"/>
      <c r="G110" s="4" t="n"/>
      <c r="H110" s="4" t="n"/>
      <c r="I110" s="4" t="n"/>
      <c r="J110" s="4" t="n"/>
    </row>
    <row r="111">
      <c r="A111" s="14">
        <f>IF(F111&lt;&gt;"",ROW()-4,"")</f>
        <v/>
      </c>
      <c r="B111" s="15" t="n"/>
      <c r="C111" s="4" t="n"/>
      <c r="D111" s="4" t="n"/>
      <c r="E111" s="4" t="n"/>
      <c r="F111" s="16" t="n"/>
      <c r="G111" s="4" t="n"/>
      <c r="H111" s="4" t="n"/>
      <c r="I111" s="4" t="n"/>
      <c r="J111" s="4" t="n"/>
    </row>
    <row r="112">
      <c r="A112" s="18">
        <f>IF(F112&lt;&gt;"",ROW()-4,"")</f>
        <v/>
      </c>
      <c r="B112" s="15" t="n"/>
      <c r="C112" s="4" t="n"/>
      <c r="D112" s="4" t="n"/>
      <c r="E112" s="4" t="n"/>
      <c r="F112" s="16" t="n"/>
      <c r="G112" s="4" t="n"/>
      <c r="H112" s="4" t="n"/>
      <c r="I112" s="4" t="n"/>
      <c r="J112" s="4" t="n"/>
    </row>
    <row r="113">
      <c r="A113" s="14">
        <f>IF(F113&lt;&gt;"",ROW()-4,"")</f>
        <v/>
      </c>
      <c r="B113" s="15" t="n"/>
      <c r="C113" s="4" t="n"/>
      <c r="D113" s="4" t="n"/>
      <c r="E113" s="4" t="n"/>
      <c r="F113" s="16" t="n"/>
      <c r="G113" s="4" t="n"/>
      <c r="H113" s="4" t="n"/>
      <c r="I113" s="4" t="n"/>
      <c r="J113" s="4" t="n"/>
    </row>
    <row r="114">
      <c r="A114" s="18">
        <f>IF(F114&lt;&gt;"",ROW()-4,"")</f>
        <v/>
      </c>
      <c r="B114" s="15" t="n"/>
      <c r="C114" s="4" t="n"/>
      <c r="D114" s="4" t="n"/>
      <c r="E114" s="4" t="n"/>
      <c r="F114" s="16" t="n"/>
      <c r="G114" s="4" t="n"/>
      <c r="H114" s="4" t="n"/>
      <c r="I114" s="4" t="n"/>
      <c r="J114" s="4" t="n"/>
    </row>
    <row r="115">
      <c r="A115" s="14">
        <f>IF(F115&lt;&gt;"",ROW()-4,"")</f>
        <v/>
      </c>
      <c r="B115" s="15" t="n"/>
      <c r="C115" s="4" t="n"/>
      <c r="D115" s="4" t="n"/>
      <c r="E115" s="4" t="n"/>
      <c r="F115" s="16" t="n"/>
      <c r="G115" s="4" t="n"/>
      <c r="H115" s="4" t="n"/>
      <c r="I115" s="4" t="n"/>
      <c r="J115" s="4" t="n"/>
    </row>
    <row r="116">
      <c r="A116" s="18">
        <f>IF(F116&lt;&gt;"",ROW()-4,"")</f>
        <v/>
      </c>
      <c r="B116" s="15" t="n"/>
      <c r="C116" s="4" t="n"/>
      <c r="D116" s="4" t="n"/>
      <c r="E116" s="4" t="n"/>
      <c r="F116" s="16" t="n"/>
      <c r="G116" s="4" t="n"/>
      <c r="H116" s="4" t="n"/>
      <c r="I116" s="4" t="n"/>
      <c r="J116" s="4" t="n"/>
    </row>
    <row r="117">
      <c r="A117" s="14">
        <f>IF(F117&lt;&gt;"",ROW()-4,"")</f>
        <v/>
      </c>
      <c r="B117" s="15" t="n"/>
      <c r="C117" s="4" t="n"/>
      <c r="D117" s="4" t="n"/>
      <c r="E117" s="4" t="n"/>
      <c r="F117" s="16" t="n"/>
      <c r="G117" s="4" t="n"/>
      <c r="H117" s="4" t="n"/>
      <c r="I117" s="4" t="n"/>
      <c r="J117" s="4" t="n"/>
    </row>
    <row r="118">
      <c r="A118" s="18">
        <f>IF(F118&lt;&gt;"",ROW()-4,"")</f>
        <v/>
      </c>
      <c r="B118" s="15" t="n"/>
      <c r="C118" s="4" t="n"/>
      <c r="D118" s="4" t="n"/>
      <c r="E118" s="4" t="n"/>
      <c r="F118" s="16" t="n"/>
      <c r="G118" s="4" t="n"/>
      <c r="H118" s="4" t="n"/>
      <c r="I118" s="4" t="n"/>
      <c r="J118" s="4" t="n"/>
    </row>
    <row r="119">
      <c r="A119" s="14">
        <f>IF(F119&lt;&gt;"",ROW()-4,"")</f>
        <v/>
      </c>
      <c r="B119" s="15" t="n"/>
      <c r="C119" s="4" t="n"/>
      <c r="D119" s="4" t="n"/>
      <c r="E119" s="4" t="n"/>
      <c r="F119" s="16" t="n"/>
      <c r="G119" s="4" t="n"/>
      <c r="H119" s="4" t="n"/>
      <c r="I119" s="4" t="n"/>
      <c r="J119" s="4" t="n"/>
    </row>
    <row r="120">
      <c r="A120" s="18">
        <f>IF(F120&lt;&gt;"",ROW()-4,"")</f>
        <v/>
      </c>
      <c r="B120" s="15" t="n"/>
      <c r="C120" s="4" t="n"/>
      <c r="D120" s="4" t="n"/>
      <c r="E120" s="4" t="n"/>
      <c r="F120" s="16" t="n"/>
      <c r="G120" s="4" t="n"/>
      <c r="H120" s="4" t="n"/>
      <c r="I120" s="4" t="n"/>
      <c r="J120" s="4" t="n"/>
    </row>
    <row r="121">
      <c r="A121" s="14">
        <f>IF(F121&lt;&gt;"",ROW()-4,"")</f>
        <v/>
      </c>
      <c r="B121" s="15" t="n"/>
      <c r="C121" s="4" t="n"/>
      <c r="D121" s="4" t="n"/>
      <c r="E121" s="4" t="n"/>
      <c r="F121" s="16" t="n"/>
      <c r="G121" s="4" t="n"/>
      <c r="H121" s="4" t="n"/>
      <c r="I121" s="4" t="n"/>
      <c r="J121" s="4" t="n"/>
    </row>
    <row r="122">
      <c r="A122" s="18">
        <f>IF(F122&lt;&gt;"",ROW()-4,"")</f>
        <v/>
      </c>
      <c r="B122" s="15" t="n"/>
      <c r="C122" s="4" t="n"/>
      <c r="D122" s="4" t="n"/>
      <c r="E122" s="4" t="n"/>
      <c r="F122" s="16" t="n"/>
      <c r="G122" s="4" t="n"/>
      <c r="H122" s="4" t="n"/>
      <c r="I122" s="4" t="n"/>
      <c r="J122" s="4" t="n"/>
    </row>
    <row r="123">
      <c r="A123" s="14">
        <f>IF(F123&lt;&gt;"",ROW()-4,"")</f>
        <v/>
      </c>
      <c r="B123" s="15" t="n"/>
      <c r="C123" s="4" t="n"/>
      <c r="D123" s="4" t="n"/>
      <c r="E123" s="4" t="n"/>
      <c r="F123" s="16" t="n"/>
      <c r="G123" s="4" t="n"/>
      <c r="H123" s="4" t="n"/>
      <c r="I123" s="4" t="n"/>
      <c r="J123" s="4" t="n"/>
    </row>
    <row r="124">
      <c r="A124" s="18">
        <f>IF(F124&lt;&gt;"",ROW()-4,"")</f>
        <v/>
      </c>
      <c r="B124" s="15" t="n"/>
      <c r="C124" s="4" t="n"/>
      <c r="D124" s="4" t="n"/>
      <c r="E124" s="4" t="n"/>
      <c r="F124" s="16" t="n"/>
      <c r="G124" s="4" t="n"/>
      <c r="H124" s="4" t="n"/>
      <c r="I124" s="4" t="n"/>
      <c r="J124" s="4" t="n"/>
    </row>
    <row r="125">
      <c r="A125" s="14">
        <f>IF(F125&lt;&gt;"",ROW()-4,"")</f>
        <v/>
      </c>
      <c r="B125" s="15" t="n"/>
      <c r="C125" s="4" t="n"/>
      <c r="D125" s="4" t="n"/>
      <c r="E125" s="4" t="n"/>
      <c r="F125" s="16" t="n"/>
      <c r="G125" s="4" t="n"/>
      <c r="H125" s="4" t="n"/>
      <c r="I125" s="4" t="n"/>
      <c r="J125" s="4" t="n"/>
    </row>
    <row r="126">
      <c r="A126" s="18">
        <f>IF(F126&lt;&gt;"",ROW()-4,"")</f>
        <v/>
      </c>
      <c r="B126" s="15" t="n"/>
      <c r="C126" s="4" t="n"/>
      <c r="D126" s="4" t="n"/>
      <c r="E126" s="4" t="n"/>
      <c r="F126" s="16" t="n"/>
      <c r="G126" s="4" t="n"/>
      <c r="H126" s="4" t="n"/>
      <c r="I126" s="4" t="n"/>
      <c r="J126" s="4" t="n"/>
    </row>
    <row r="127">
      <c r="A127" s="14">
        <f>IF(F127&lt;&gt;"",ROW()-4,"")</f>
        <v/>
      </c>
      <c r="B127" s="15" t="n"/>
      <c r="C127" s="4" t="n"/>
      <c r="D127" s="4" t="n"/>
      <c r="E127" s="4" t="n"/>
      <c r="F127" s="16" t="n"/>
      <c r="G127" s="4" t="n"/>
      <c r="H127" s="4" t="n"/>
      <c r="I127" s="4" t="n"/>
      <c r="J127" s="4" t="n"/>
    </row>
    <row r="128">
      <c r="A128" s="18">
        <f>IF(F128&lt;&gt;"",ROW()-4,"")</f>
        <v/>
      </c>
      <c r="B128" s="15" t="n"/>
      <c r="C128" s="4" t="n"/>
      <c r="D128" s="4" t="n"/>
      <c r="E128" s="4" t="n"/>
      <c r="F128" s="16" t="n"/>
      <c r="G128" s="4" t="n"/>
      <c r="H128" s="4" t="n"/>
      <c r="I128" s="4" t="n"/>
      <c r="J128" s="4" t="n"/>
    </row>
    <row r="129">
      <c r="A129" s="14">
        <f>IF(F129&lt;&gt;"",ROW()-4,"")</f>
        <v/>
      </c>
      <c r="B129" s="15" t="n"/>
      <c r="C129" s="4" t="n"/>
      <c r="D129" s="4" t="n"/>
      <c r="E129" s="4" t="n"/>
      <c r="F129" s="16" t="n"/>
      <c r="G129" s="4" t="n"/>
      <c r="H129" s="4" t="n"/>
      <c r="I129" s="4" t="n"/>
      <c r="J129" s="4" t="n"/>
    </row>
    <row r="130">
      <c r="A130" s="18">
        <f>IF(F130&lt;&gt;"",ROW()-4,"")</f>
        <v/>
      </c>
      <c r="B130" s="15" t="n"/>
      <c r="C130" s="4" t="n"/>
      <c r="D130" s="4" t="n"/>
      <c r="E130" s="4" t="n"/>
      <c r="F130" s="16" t="n"/>
      <c r="G130" s="4" t="n"/>
      <c r="H130" s="4" t="n"/>
      <c r="I130" s="4" t="n"/>
      <c r="J130" s="4" t="n"/>
    </row>
    <row r="131">
      <c r="A131" s="14">
        <f>IF(F131&lt;&gt;"",ROW()-4,"")</f>
        <v/>
      </c>
      <c r="B131" s="15" t="n"/>
      <c r="C131" s="4" t="n"/>
      <c r="D131" s="4" t="n"/>
      <c r="E131" s="4" t="n"/>
      <c r="F131" s="16" t="n"/>
      <c r="G131" s="4" t="n"/>
      <c r="H131" s="4" t="n"/>
      <c r="I131" s="4" t="n"/>
      <c r="J131" s="4" t="n"/>
    </row>
    <row r="132">
      <c r="A132" s="18">
        <f>IF(F132&lt;&gt;"",ROW()-4,"")</f>
        <v/>
      </c>
      <c r="B132" s="15" t="n"/>
      <c r="C132" s="4" t="n"/>
      <c r="D132" s="4" t="n"/>
      <c r="E132" s="4" t="n"/>
      <c r="F132" s="16" t="n"/>
      <c r="G132" s="4" t="n"/>
      <c r="H132" s="4" t="n"/>
      <c r="I132" s="4" t="n"/>
      <c r="J132" s="4" t="n"/>
    </row>
    <row r="133">
      <c r="A133" s="14">
        <f>IF(F133&lt;&gt;"",ROW()-4,"")</f>
        <v/>
      </c>
      <c r="B133" s="15" t="n"/>
      <c r="C133" s="4" t="n"/>
      <c r="D133" s="4" t="n"/>
      <c r="E133" s="4" t="n"/>
      <c r="F133" s="16" t="n"/>
      <c r="G133" s="4" t="n"/>
      <c r="H133" s="4" t="n"/>
      <c r="I133" s="4" t="n"/>
      <c r="J133" s="4" t="n"/>
    </row>
    <row r="134">
      <c r="A134" s="18">
        <f>IF(F134&lt;&gt;"",ROW()-4,"")</f>
        <v/>
      </c>
      <c r="B134" s="15" t="n"/>
      <c r="C134" s="4" t="n"/>
      <c r="D134" s="4" t="n"/>
      <c r="E134" s="4" t="n"/>
      <c r="F134" s="16" t="n"/>
      <c r="G134" s="4" t="n"/>
      <c r="H134" s="4" t="n"/>
      <c r="I134" s="4" t="n"/>
      <c r="J134" s="4" t="n"/>
    </row>
    <row r="135">
      <c r="A135" s="14">
        <f>IF(F135&lt;&gt;"",ROW()-4,"")</f>
        <v/>
      </c>
      <c r="B135" s="15" t="n"/>
      <c r="C135" s="4" t="n"/>
      <c r="D135" s="4" t="n"/>
      <c r="E135" s="4" t="n"/>
      <c r="F135" s="16" t="n"/>
      <c r="G135" s="4" t="n"/>
      <c r="H135" s="4" t="n"/>
      <c r="I135" s="4" t="n"/>
      <c r="J135" s="4" t="n"/>
    </row>
    <row r="136">
      <c r="A136" s="18">
        <f>IF(F136&lt;&gt;"",ROW()-4,"")</f>
        <v/>
      </c>
      <c r="B136" s="15" t="n"/>
      <c r="C136" s="4" t="n"/>
      <c r="D136" s="4" t="n"/>
      <c r="E136" s="4" t="n"/>
      <c r="F136" s="16" t="n"/>
      <c r="G136" s="4" t="n"/>
      <c r="H136" s="4" t="n"/>
      <c r="I136" s="4" t="n"/>
      <c r="J136" s="4" t="n"/>
    </row>
    <row r="137">
      <c r="A137" s="14">
        <f>IF(F137&lt;&gt;"",ROW()-4,"")</f>
        <v/>
      </c>
      <c r="B137" s="15" t="n"/>
      <c r="C137" s="4" t="n"/>
      <c r="D137" s="4" t="n"/>
      <c r="E137" s="4" t="n"/>
      <c r="F137" s="16" t="n"/>
      <c r="G137" s="4" t="n"/>
      <c r="H137" s="4" t="n"/>
      <c r="I137" s="4" t="n"/>
      <c r="J137" s="4" t="n"/>
    </row>
    <row r="138">
      <c r="A138" s="18">
        <f>IF(F138&lt;&gt;"",ROW()-4,"")</f>
        <v/>
      </c>
      <c r="B138" s="15" t="n"/>
      <c r="C138" s="4" t="n"/>
      <c r="D138" s="4" t="n"/>
      <c r="E138" s="4" t="n"/>
      <c r="F138" s="16" t="n"/>
      <c r="G138" s="4" t="n"/>
      <c r="H138" s="4" t="n"/>
      <c r="I138" s="4" t="n"/>
      <c r="J138" s="4" t="n"/>
    </row>
    <row r="139">
      <c r="A139" s="14">
        <f>IF(F139&lt;&gt;"",ROW()-4,"")</f>
        <v/>
      </c>
      <c r="B139" s="15" t="n"/>
      <c r="C139" s="4" t="n"/>
      <c r="D139" s="4" t="n"/>
      <c r="E139" s="4" t="n"/>
      <c r="F139" s="16" t="n"/>
      <c r="G139" s="4" t="n"/>
      <c r="H139" s="4" t="n"/>
      <c r="I139" s="4" t="n"/>
      <c r="J139" s="4" t="n"/>
    </row>
    <row r="140">
      <c r="A140" s="18">
        <f>IF(F140&lt;&gt;"",ROW()-4,"")</f>
        <v/>
      </c>
      <c r="B140" s="15" t="n"/>
      <c r="C140" s="4" t="n"/>
      <c r="D140" s="4" t="n"/>
      <c r="E140" s="4" t="n"/>
      <c r="F140" s="16" t="n"/>
      <c r="G140" s="4" t="n"/>
      <c r="H140" s="4" t="n"/>
      <c r="I140" s="4" t="n"/>
      <c r="J140" s="4" t="n"/>
    </row>
    <row r="141">
      <c r="A141" s="14">
        <f>IF(F141&lt;&gt;"",ROW()-4,"")</f>
        <v/>
      </c>
      <c r="B141" s="15" t="n"/>
      <c r="C141" s="4" t="n"/>
      <c r="D141" s="4" t="n"/>
      <c r="E141" s="4" t="n"/>
      <c r="F141" s="16" t="n"/>
      <c r="G141" s="4" t="n"/>
      <c r="H141" s="4" t="n"/>
      <c r="I141" s="4" t="n"/>
      <c r="J141" s="4" t="n"/>
    </row>
    <row r="142">
      <c r="A142" s="18">
        <f>IF(F142&lt;&gt;"",ROW()-4,"")</f>
        <v/>
      </c>
      <c r="B142" s="15" t="n"/>
      <c r="C142" s="4" t="n"/>
      <c r="D142" s="4" t="n"/>
      <c r="E142" s="4" t="n"/>
      <c r="F142" s="16" t="n"/>
      <c r="G142" s="4" t="n"/>
      <c r="H142" s="4" t="n"/>
      <c r="I142" s="4" t="n"/>
      <c r="J142" s="4" t="n"/>
    </row>
    <row r="143">
      <c r="A143" s="14">
        <f>IF(F143&lt;&gt;"",ROW()-4,"")</f>
        <v/>
      </c>
      <c r="B143" s="15" t="n"/>
      <c r="C143" s="4" t="n"/>
      <c r="D143" s="4" t="n"/>
      <c r="E143" s="4" t="n"/>
      <c r="F143" s="16" t="n"/>
      <c r="G143" s="4" t="n"/>
      <c r="H143" s="4" t="n"/>
      <c r="I143" s="4" t="n"/>
      <c r="J143" s="4" t="n"/>
    </row>
    <row r="144">
      <c r="A144" s="18">
        <f>IF(F144&lt;&gt;"",ROW()-4,"")</f>
        <v/>
      </c>
      <c r="B144" s="15" t="n"/>
      <c r="C144" s="4" t="n"/>
      <c r="D144" s="4" t="n"/>
      <c r="E144" s="4" t="n"/>
      <c r="F144" s="16" t="n"/>
      <c r="G144" s="4" t="n"/>
      <c r="H144" s="4" t="n"/>
      <c r="I144" s="4" t="n"/>
      <c r="J144" s="4" t="n"/>
    </row>
    <row r="145">
      <c r="A145" s="14">
        <f>IF(F145&lt;&gt;"",ROW()-4,"")</f>
        <v/>
      </c>
      <c r="B145" s="15" t="n"/>
      <c r="C145" s="4" t="n"/>
      <c r="D145" s="4" t="n"/>
      <c r="E145" s="4" t="n"/>
      <c r="F145" s="16" t="n"/>
      <c r="G145" s="4" t="n"/>
      <c r="H145" s="4" t="n"/>
      <c r="I145" s="4" t="n"/>
      <c r="J145" s="4" t="n"/>
    </row>
    <row r="146">
      <c r="A146" s="18">
        <f>IF(F146&lt;&gt;"",ROW()-4,"")</f>
        <v/>
      </c>
      <c r="B146" s="15" t="n"/>
      <c r="C146" s="4" t="n"/>
      <c r="D146" s="4" t="n"/>
      <c r="E146" s="4" t="n"/>
      <c r="F146" s="16" t="n"/>
      <c r="G146" s="4" t="n"/>
      <c r="H146" s="4" t="n"/>
      <c r="I146" s="4" t="n"/>
      <c r="J146" s="4" t="n"/>
    </row>
    <row r="147">
      <c r="A147" s="14">
        <f>IF(F147&lt;&gt;"",ROW()-4,"")</f>
        <v/>
      </c>
      <c r="B147" s="15" t="n"/>
      <c r="C147" s="4" t="n"/>
      <c r="D147" s="4" t="n"/>
      <c r="E147" s="4" t="n"/>
      <c r="F147" s="16" t="n"/>
      <c r="G147" s="4" t="n"/>
      <c r="H147" s="4" t="n"/>
      <c r="I147" s="4" t="n"/>
      <c r="J147" s="4" t="n"/>
    </row>
    <row r="148">
      <c r="A148" s="18">
        <f>IF(F148&lt;&gt;"",ROW()-4,"")</f>
        <v/>
      </c>
      <c r="B148" s="15" t="n"/>
      <c r="C148" s="4" t="n"/>
      <c r="D148" s="4" t="n"/>
      <c r="E148" s="4" t="n"/>
      <c r="F148" s="16" t="n"/>
      <c r="G148" s="4" t="n"/>
      <c r="H148" s="4" t="n"/>
      <c r="I148" s="4" t="n"/>
      <c r="J148" s="4" t="n"/>
    </row>
    <row r="149">
      <c r="A149" s="14">
        <f>IF(F149&lt;&gt;"",ROW()-4,"")</f>
        <v/>
      </c>
      <c r="B149" s="15" t="n"/>
      <c r="C149" s="4" t="n"/>
      <c r="D149" s="4" t="n"/>
      <c r="E149" s="4" t="n"/>
      <c r="F149" s="16" t="n"/>
      <c r="G149" s="4" t="n"/>
      <c r="H149" s="4" t="n"/>
      <c r="I149" s="4" t="n"/>
      <c r="J149" s="4" t="n"/>
    </row>
    <row r="150">
      <c r="A150" s="18">
        <f>IF(F150&lt;&gt;"",ROW()-4,"")</f>
        <v/>
      </c>
      <c r="B150" s="15" t="n"/>
      <c r="C150" s="4" t="n"/>
      <c r="D150" s="4" t="n"/>
      <c r="E150" s="4" t="n"/>
      <c r="F150" s="16" t="n"/>
      <c r="G150" s="4" t="n"/>
      <c r="H150" s="4" t="n"/>
      <c r="I150" s="4" t="n"/>
      <c r="J150" s="4" t="n"/>
    </row>
    <row r="151">
      <c r="A151" s="14">
        <f>IF(F151&lt;&gt;"",ROW()-4,"")</f>
        <v/>
      </c>
      <c r="B151" s="15" t="n"/>
      <c r="C151" s="4" t="n"/>
      <c r="D151" s="4" t="n"/>
      <c r="E151" s="4" t="n"/>
      <c r="F151" s="16" t="n"/>
      <c r="G151" s="4" t="n"/>
      <c r="H151" s="4" t="n"/>
      <c r="I151" s="4" t="n"/>
      <c r="J151" s="4" t="n"/>
    </row>
    <row r="152">
      <c r="A152" s="18">
        <f>IF(F152&lt;&gt;"",ROW()-4,"")</f>
        <v/>
      </c>
      <c r="B152" s="15" t="n"/>
      <c r="C152" s="4" t="n"/>
      <c r="D152" s="4" t="n"/>
      <c r="E152" s="4" t="n"/>
      <c r="F152" s="16" t="n"/>
      <c r="G152" s="4" t="n"/>
      <c r="H152" s="4" t="n"/>
      <c r="I152" s="4" t="n"/>
      <c r="J152" s="4" t="n"/>
    </row>
    <row r="153">
      <c r="A153" s="14">
        <f>IF(F153&lt;&gt;"",ROW()-4,"")</f>
        <v/>
      </c>
      <c r="B153" s="15" t="n"/>
      <c r="C153" s="4" t="n"/>
      <c r="D153" s="4" t="n"/>
      <c r="E153" s="4" t="n"/>
      <c r="F153" s="16" t="n"/>
      <c r="G153" s="4" t="n"/>
      <c r="H153" s="4" t="n"/>
      <c r="I153" s="4" t="n"/>
      <c r="J153" s="4" t="n"/>
    </row>
    <row r="154">
      <c r="A154" s="18">
        <f>IF(F154&lt;&gt;"",ROW()-4,"")</f>
        <v/>
      </c>
      <c r="B154" s="15" t="n"/>
      <c r="C154" s="4" t="n"/>
      <c r="D154" s="4" t="n"/>
      <c r="E154" s="4" t="n"/>
      <c r="F154" s="16" t="n"/>
      <c r="G154" s="4" t="n"/>
      <c r="H154" s="4" t="n"/>
      <c r="I154" s="4" t="n"/>
      <c r="J154" s="4" t="n"/>
    </row>
    <row r="155">
      <c r="A155" s="14">
        <f>IF(F155&lt;&gt;"",ROW()-4,"")</f>
        <v/>
      </c>
      <c r="B155" s="15" t="n"/>
      <c r="C155" s="4" t="n"/>
      <c r="D155" s="4" t="n"/>
      <c r="E155" s="4" t="n"/>
      <c r="F155" s="16" t="n"/>
      <c r="G155" s="4" t="n"/>
      <c r="H155" s="4" t="n"/>
      <c r="I155" s="4" t="n"/>
      <c r="J155" s="4" t="n"/>
    </row>
    <row r="156">
      <c r="A156" s="18">
        <f>IF(F156&lt;&gt;"",ROW()-4,"")</f>
        <v/>
      </c>
      <c r="B156" s="15" t="n"/>
      <c r="C156" s="4" t="n"/>
      <c r="D156" s="4" t="n"/>
      <c r="E156" s="4" t="n"/>
      <c r="F156" s="16" t="n"/>
      <c r="G156" s="4" t="n"/>
      <c r="H156" s="4" t="n"/>
      <c r="I156" s="4" t="n"/>
      <c r="J156" s="4" t="n"/>
    </row>
    <row r="157">
      <c r="A157" s="14">
        <f>IF(F157&lt;&gt;"",ROW()-4,"")</f>
        <v/>
      </c>
      <c r="B157" s="15" t="n"/>
      <c r="C157" s="4" t="n"/>
      <c r="D157" s="4" t="n"/>
      <c r="E157" s="4" t="n"/>
      <c r="F157" s="16" t="n"/>
      <c r="G157" s="4" t="n"/>
      <c r="H157" s="4" t="n"/>
      <c r="I157" s="4" t="n"/>
      <c r="J157" s="4" t="n"/>
    </row>
    <row r="158">
      <c r="A158" s="18">
        <f>IF(F158&lt;&gt;"",ROW()-4,"")</f>
        <v/>
      </c>
      <c r="B158" s="15" t="n"/>
      <c r="C158" s="4" t="n"/>
      <c r="D158" s="4" t="n"/>
      <c r="E158" s="4" t="n"/>
      <c r="F158" s="16" t="n"/>
      <c r="G158" s="4" t="n"/>
      <c r="H158" s="4" t="n"/>
      <c r="I158" s="4" t="n"/>
      <c r="J158" s="4" t="n"/>
    </row>
    <row r="159">
      <c r="A159" s="14">
        <f>IF(F159&lt;&gt;"",ROW()-4,"")</f>
        <v/>
      </c>
      <c r="B159" s="15" t="n"/>
      <c r="C159" s="4" t="n"/>
      <c r="D159" s="4" t="n"/>
      <c r="E159" s="4" t="n"/>
      <c r="F159" s="16" t="n"/>
      <c r="G159" s="4" t="n"/>
      <c r="H159" s="4" t="n"/>
      <c r="I159" s="4" t="n"/>
      <c r="J159" s="4" t="n"/>
    </row>
    <row r="160">
      <c r="A160" s="18">
        <f>IF(F160&lt;&gt;"",ROW()-4,"")</f>
        <v/>
      </c>
      <c r="B160" s="15" t="n"/>
      <c r="C160" s="4" t="n"/>
      <c r="D160" s="4" t="n"/>
      <c r="E160" s="4" t="n"/>
      <c r="F160" s="16" t="n"/>
      <c r="G160" s="4" t="n"/>
      <c r="H160" s="4" t="n"/>
      <c r="I160" s="4" t="n"/>
      <c r="J160" s="4" t="n"/>
    </row>
    <row r="161">
      <c r="A161" s="14">
        <f>IF(F161&lt;&gt;"",ROW()-4,"")</f>
        <v/>
      </c>
      <c r="B161" s="15" t="n"/>
      <c r="C161" s="4" t="n"/>
      <c r="D161" s="4" t="n"/>
      <c r="E161" s="4" t="n"/>
      <c r="F161" s="16" t="n"/>
      <c r="G161" s="4" t="n"/>
      <c r="H161" s="4" t="n"/>
      <c r="I161" s="4" t="n"/>
      <c r="J161" s="4" t="n"/>
    </row>
    <row r="162">
      <c r="A162" s="18">
        <f>IF(F162&lt;&gt;"",ROW()-4,"")</f>
        <v/>
      </c>
      <c r="B162" s="15" t="n"/>
      <c r="C162" s="4" t="n"/>
      <c r="D162" s="4" t="n"/>
      <c r="E162" s="4" t="n"/>
      <c r="F162" s="16" t="n"/>
      <c r="G162" s="4" t="n"/>
      <c r="H162" s="4" t="n"/>
      <c r="I162" s="4" t="n"/>
      <c r="J162" s="4" t="n"/>
    </row>
    <row r="163">
      <c r="A163" s="14">
        <f>IF(F163&lt;&gt;"",ROW()-4,"")</f>
        <v/>
      </c>
      <c r="B163" s="15" t="n"/>
      <c r="C163" s="4" t="n"/>
      <c r="D163" s="4" t="n"/>
      <c r="E163" s="4" t="n"/>
      <c r="F163" s="16" t="n"/>
      <c r="G163" s="4" t="n"/>
      <c r="H163" s="4" t="n"/>
      <c r="I163" s="4" t="n"/>
      <c r="J163" s="4" t="n"/>
    </row>
    <row r="164">
      <c r="A164" s="18">
        <f>IF(F164&lt;&gt;"",ROW()-4,"")</f>
        <v/>
      </c>
      <c r="B164" s="15" t="n"/>
      <c r="C164" s="4" t="n"/>
      <c r="D164" s="4" t="n"/>
      <c r="E164" s="4" t="n"/>
      <c r="F164" s="16" t="n"/>
      <c r="G164" s="4" t="n"/>
      <c r="H164" s="4" t="n"/>
      <c r="I164" s="4" t="n"/>
      <c r="J164" s="4" t="n"/>
    </row>
    <row r="165">
      <c r="A165" s="14">
        <f>IF(F165&lt;&gt;"",ROW()-4,"")</f>
        <v/>
      </c>
      <c r="B165" s="15" t="n"/>
      <c r="C165" s="4" t="n"/>
      <c r="D165" s="4" t="n"/>
      <c r="E165" s="4" t="n"/>
      <c r="F165" s="16" t="n"/>
      <c r="G165" s="4" t="n"/>
      <c r="H165" s="4" t="n"/>
      <c r="I165" s="4" t="n"/>
      <c r="J165" s="4" t="n"/>
    </row>
    <row r="166">
      <c r="A166" s="18">
        <f>IF(F166&lt;&gt;"",ROW()-4,"")</f>
        <v/>
      </c>
      <c r="B166" s="15" t="n"/>
      <c r="C166" s="4" t="n"/>
      <c r="D166" s="4" t="n"/>
      <c r="E166" s="4" t="n"/>
      <c r="F166" s="16" t="n"/>
      <c r="G166" s="4" t="n"/>
      <c r="H166" s="4" t="n"/>
      <c r="I166" s="4" t="n"/>
      <c r="J166" s="4" t="n"/>
    </row>
    <row r="167">
      <c r="A167" s="14">
        <f>IF(F167&lt;&gt;"",ROW()-4,"")</f>
        <v/>
      </c>
      <c r="B167" s="15" t="n"/>
      <c r="C167" s="4" t="n"/>
      <c r="D167" s="4" t="n"/>
      <c r="E167" s="4" t="n"/>
      <c r="F167" s="16" t="n"/>
      <c r="G167" s="4" t="n"/>
      <c r="H167" s="4" t="n"/>
      <c r="I167" s="4" t="n"/>
      <c r="J167" s="4" t="n"/>
    </row>
    <row r="168">
      <c r="A168" s="18">
        <f>IF(F168&lt;&gt;"",ROW()-4,"")</f>
        <v/>
      </c>
      <c r="B168" s="15" t="n"/>
      <c r="C168" s="4" t="n"/>
      <c r="D168" s="4" t="n"/>
      <c r="E168" s="4" t="n"/>
      <c r="F168" s="16" t="n"/>
      <c r="G168" s="4" t="n"/>
      <c r="H168" s="4" t="n"/>
      <c r="I168" s="4" t="n"/>
      <c r="J168" s="4" t="n"/>
    </row>
    <row r="169">
      <c r="A169" s="14">
        <f>IF(F169&lt;&gt;"",ROW()-4,"")</f>
        <v/>
      </c>
      <c r="B169" s="15" t="n"/>
      <c r="C169" s="4" t="n"/>
      <c r="D169" s="4" t="n"/>
      <c r="E169" s="4" t="n"/>
      <c r="F169" s="16" t="n"/>
      <c r="G169" s="4" t="n"/>
      <c r="H169" s="4" t="n"/>
      <c r="I169" s="4" t="n"/>
      <c r="J169" s="4" t="n"/>
    </row>
    <row r="170">
      <c r="A170" s="18">
        <f>IF(F170&lt;&gt;"",ROW()-4,"")</f>
        <v/>
      </c>
      <c r="B170" s="15" t="n"/>
      <c r="C170" s="4" t="n"/>
      <c r="D170" s="4" t="n"/>
      <c r="E170" s="4" t="n"/>
      <c r="F170" s="16" t="n"/>
      <c r="G170" s="4" t="n"/>
      <c r="H170" s="4" t="n"/>
      <c r="I170" s="4" t="n"/>
      <c r="J170" s="4" t="n"/>
    </row>
    <row r="171">
      <c r="A171" s="14">
        <f>IF(F171&lt;&gt;"",ROW()-4,"")</f>
        <v/>
      </c>
      <c r="B171" s="15" t="n"/>
      <c r="C171" s="4" t="n"/>
      <c r="D171" s="4" t="n"/>
      <c r="E171" s="4" t="n"/>
      <c r="F171" s="16" t="n"/>
      <c r="G171" s="4" t="n"/>
      <c r="H171" s="4" t="n"/>
      <c r="I171" s="4" t="n"/>
      <c r="J171" s="4" t="n"/>
    </row>
    <row r="172">
      <c r="A172" s="18">
        <f>IF(F172&lt;&gt;"",ROW()-4,"")</f>
        <v/>
      </c>
      <c r="B172" s="15" t="n"/>
      <c r="C172" s="4" t="n"/>
      <c r="D172" s="4" t="n"/>
      <c r="E172" s="4" t="n"/>
      <c r="F172" s="16" t="n"/>
      <c r="G172" s="4" t="n"/>
      <c r="H172" s="4" t="n"/>
      <c r="I172" s="4" t="n"/>
      <c r="J172" s="4" t="n"/>
    </row>
    <row r="173">
      <c r="A173" s="14">
        <f>IF(F173&lt;&gt;"",ROW()-4,"")</f>
        <v/>
      </c>
      <c r="B173" s="15" t="n"/>
      <c r="C173" s="4" t="n"/>
      <c r="D173" s="4" t="n"/>
      <c r="E173" s="4" t="n"/>
      <c r="F173" s="16" t="n"/>
      <c r="G173" s="4" t="n"/>
      <c r="H173" s="4" t="n"/>
      <c r="I173" s="4" t="n"/>
      <c r="J173" s="4" t="n"/>
    </row>
    <row r="174">
      <c r="A174" s="18">
        <f>IF(F174&lt;&gt;"",ROW()-4,"")</f>
        <v/>
      </c>
      <c r="B174" s="15" t="n"/>
      <c r="C174" s="4" t="n"/>
      <c r="D174" s="4" t="n"/>
      <c r="E174" s="4" t="n"/>
      <c r="F174" s="16" t="n"/>
      <c r="G174" s="4" t="n"/>
      <c r="H174" s="4" t="n"/>
      <c r="I174" s="4" t="n"/>
      <c r="J174" s="4" t="n"/>
    </row>
    <row r="175">
      <c r="A175" s="14">
        <f>IF(F175&lt;&gt;"",ROW()-4,"")</f>
        <v/>
      </c>
      <c r="B175" s="15" t="n"/>
      <c r="C175" s="4" t="n"/>
      <c r="D175" s="4" t="n"/>
      <c r="E175" s="4" t="n"/>
      <c r="F175" s="16" t="n"/>
      <c r="G175" s="4" t="n"/>
      <c r="H175" s="4" t="n"/>
      <c r="I175" s="4" t="n"/>
      <c r="J175" s="4" t="n"/>
    </row>
    <row r="176">
      <c r="A176" s="18">
        <f>IF(F176&lt;&gt;"",ROW()-4,"")</f>
        <v/>
      </c>
      <c r="B176" s="15" t="n"/>
      <c r="C176" s="4" t="n"/>
      <c r="D176" s="4" t="n"/>
      <c r="E176" s="4" t="n"/>
      <c r="F176" s="16" t="n"/>
      <c r="G176" s="4" t="n"/>
      <c r="H176" s="4" t="n"/>
      <c r="I176" s="4" t="n"/>
      <c r="J176" s="4" t="n"/>
    </row>
    <row r="177">
      <c r="A177" s="14">
        <f>IF(F177&lt;&gt;"",ROW()-4,"")</f>
        <v/>
      </c>
      <c r="B177" s="15" t="n"/>
      <c r="C177" s="4" t="n"/>
      <c r="D177" s="4" t="n"/>
      <c r="E177" s="4" t="n"/>
      <c r="F177" s="16" t="n"/>
      <c r="G177" s="4" t="n"/>
      <c r="H177" s="4" t="n"/>
      <c r="I177" s="4" t="n"/>
      <c r="J177" s="4" t="n"/>
    </row>
    <row r="178">
      <c r="A178" s="18">
        <f>IF(F178&lt;&gt;"",ROW()-4,"")</f>
        <v/>
      </c>
      <c r="B178" s="15" t="n"/>
      <c r="C178" s="4" t="n"/>
      <c r="D178" s="4" t="n"/>
      <c r="E178" s="4" t="n"/>
      <c r="F178" s="16" t="n"/>
      <c r="G178" s="4" t="n"/>
      <c r="H178" s="4" t="n"/>
      <c r="I178" s="4" t="n"/>
      <c r="J178" s="4" t="n"/>
    </row>
    <row r="179">
      <c r="A179" s="14">
        <f>IF(F179&lt;&gt;"",ROW()-4,"")</f>
        <v/>
      </c>
      <c r="B179" s="15" t="n"/>
      <c r="C179" s="4" t="n"/>
      <c r="D179" s="4" t="n"/>
      <c r="E179" s="4" t="n"/>
      <c r="F179" s="16" t="n"/>
      <c r="G179" s="4" t="n"/>
      <c r="H179" s="4" t="n"/>
      <c r="I179" s="4" t="n"/>
      <c r="J179" s="4" t="n"/>
    </row>
    <row r="180">
      <c r="A180" s="18">
        <f>IF(F180&lt;&gt;"",ROW()-4,"")</f>
        <v/>
      </c>
      <c r="B180" s="15" t="n"/>
      <c r="C180" s="4" t="n"/>
      <c r="D180" s="4" t="n"/>
      <c r="E180" s="4" t="n"/>
      <c r="F180" s="16" t="n"/>
      <c r="G180" s="4" t="n"/>
      <c r="H180" s="4" t="n"/>
      <c r="I180" s="4" t="n"/>
      <c r="J180" s="4" t="n"/>
    </row>
    <row r="181">
      <c r="A181" s="14">
        <f>IF(F181&lt;&gt;"",ROW()-4,"")</f>
        <v/>
      </c>
      <c r="B181" s="15" t="n"/>
      <c r="C181" s="4" t="n"/>
      <c r="D181" s="4" t="n"/>
      <c r="E181" s="4" t="n"/>
      <c r="F181" s="16" t="n"/>
      <c r="G181" s="4" t="n"/>
      <c r="H181" s="4" t="n"/>
      <c r="I181" s="4" t="n"/>
      <c r="J181" s="4" t="n"/>
    </row>
    <row r="182">
      <c r="A182" s="18">
        <f>IF(F182&lt;&gt;"",ROW()-4,"")</f>
        <v/>
      </c>
      <c r="B182" s="15" t="n"/>
      <c r="C182" s="4" t="n"/>
      <c r="D182" s="4" t="n"/>
      <c r="E182" s="4" t="n"/>
      <c r="F182" s="16" t="n"/>
      <c r="G182" s="4" t="n"/>
      <c r="H182" s="4" t="n"/>
      <c r="I182" s="4" t="n"/>
      <c r="J182" s="4" t="n"/>
    </row>
    <row r="183">
      <c r="A183" s="14">
        <f>IF(F183&lt;&gt;"",ROW()-4,"")</f>
        <v/>
      </c>
      <c r="B183" s="15" t="n"/>
      <c r="C183" s="4" t="n"/>
      <c r="D183" s="4" t="n"/>
      <c r="E183" s="4" t="n"/>
      <c r="F183" s="16" t="n"/>
      <c r="G183" s="4" t="n"/>
      <c r="H183" s="4" t="n"/>
      <c r="I183" s="4" t="n"/>
      <c r="J183" s="4" t="n"/>
    </row>
    <row r="184">
      <c r="A184" s="18">
        <f>IF(F184&lt;&gt;"",ROW()-4,"")</f>
        <v/>
      </c>
      <c r="B184" s="15" t="n"/>
      <c r="C184" s="4" t="n"/>
      <c r="D184" s="4" t="n"/>
      <c r="E184" s="4" t="n"/>
      <c r="F184" s="16" t="n"/>
      <c r="G184" s="4" t="n"/>
      <c r="H184" s="4" t="n"/>
      <c r="I184" s="4" t="n"/>
      <c r="J184" s="4" t="n"/>
    </row>
    <row r="185">
      <c r="A185" s="14">
        <f>IF(F185&lt;&gt;"",ROW()-4,"")</f>
        <v/>
      </c>
      <c r="B185" s="15" t="n"/>
      <c r="C185" s="4" t="n"/>
      <c r="D185" s="4" t="n"/>
      <c r="E185" s="4" t="n"/>
      <c r="F185" s="16" t="n"/>
      <c r="G185" s="4" t="n"/>
      <c r="H185" s="4" t="n"/>
      <c r="I185" s="4" t="n"/>
      <c r="J185" s="4" t="n"/>
    </row>
    <row r="186">
      <c r="A186" s="18">
        <f>IF(F186&lt;&gt;"",ROW()-4,"")</f>
        <v/>
      </c>
      <c r="B186" s="15" t="n"/>
      <c r="C186" s="4" t="n"/>
      <c r="D186" s="4" t="n"/>
      <c r="E186" s="4" t="n"/>
      <c r="F186" s="16" t="n"/>
      <c r="G186" s="4" t="n"/>
      <c r="H186" s="4" t="n"/>
      <c r="I186" s="4" t="n"/>
      <c r="J186" s="4" t="n"/>
    </row>
    <row r="187">
      <c r="A187" s="14">
        <f>IF(F187&lt;&gt;"",ROW()-4,"")</f>
        <v/>
      </c>
      <c r="B187" s="15" t="n"/>
      <c r="C187" s="4" t="n"/>
      <c r="D187" s="4" t="n"/>
      <c r="E187" s="4" t="n"/>
      <c r="F187" s="16" t="n"/>
      <c r="G187" s="4" t="n"/>
      <c r="H187" s="4" t="n"/>
      <c r="I187" s="4" t="n"/>
      <c r="J187" s="4" t="n"/>
    </row>
    <row r="188">
      <c r="A188" s="18">
        <f>IF(F188&lt;&gt;"",ROW()-4,"")</f>
        <v/>
      </c>
      <c r="B188" s="15" t="n"/>
      <c r="C188" s="4" t="n"/>
      <c r="D188" s="4" t="n"/>
      <c r="E188" s="4" t="n"/>
      <c r="F188" s="16" t="n"/>
      <c r="G188" s="4" t="n"/>
      <c r="H188" s="4" t="n"/>
      <c r="I188" s="4" t="n"/>
      <c r="J188" s="4" t="n"/>
    </row>
    <row r="189">
      <c r="A189" s="14">
        <f>IF(F189&lt;&gt;"",ROW()-4,"")</f>
        <v/>
      </c>
      <c r="B189" s="15" t="n"/>
      <c r="C189" s="4" t="n"/>
      <c r="D189" s="4" t="n"/>
      <c r="E189" s="4" t="n"/>
      <c r="F189" s="16" t="n"/>
      <c r="G189" s="4" t="n"/>
      <c r="H189" s="4" t="n"/>
      <c r="I189" s="4" t="n"/>
      <c r="J189" s="4" t="n"/>
    </row>
    <row r="190">
      <c r="A190" s="18">
        <f>IF(F190&lt;&gt;"",ROW()-4,"")</f>
        <v/>
      </c>
      <c r="B190" s="15" t="n"/>
      <c r="C190" s="4" t="n"/>
      <c r="D190" s="4" t="n"/>
      <c r="E190" s="4" t="n"/>
      <c r="F190" s="16" t="n"/>
      <c r="G190" s="4" t="n"/>
      <c r="H190" s="4" t="n"/>
      <c r="I190" s="4" t="n"/>
      <c r="J190" s="4" t="n"/>
    </row>
    <row r="191">
      <c r="A191" s="14">
        <f>IF(F191&lt;&gt;"",ROW()-4,"")</f>
        <v/>
      </c>
      <c r="B191" s="15" t="n"/>
      <c r="C191" s="4" t="n"/>
      <c r="D191" s="4" t="n"/>
      <c r="E191" s="4" t="n"/>
      <c r="F191" s="16" t="n"/>
      <c r="G191" s="4" t="n"/>
      <c r="H191" s="4" t="n"/>
      <c r="I191" s="4" t="n"/>
      <c r="J191" s="4" t="n"/>
    </row>
    <row r="192">
      <c r="A192" s="18">
        <f>IF(F192&lt;&gt;"",ROW()-4,"")</f>
        <v/>
      </c>
      <c r="B192" s="15" t="n"/>
      <c r="C192" s="4" t="n"/>
      <c r="D192" s="4" t="n"/>
      <c r="E192" s="4" t="n"/>
      <c r="F192" s="16" t="n"/>
      <c r="G192" s="4" t="n"/>
      <c r="H192" s="4" t="n"/>
      <c r="I192" s="4" t="n"/>
      <c r="J192" s="4" t="n"/>
    </row>
    <row r="193">
      <c r="A193" s="14">
        <f>IF(F193&lt;&gt;"",ROW()-4,"")</f>
        <v/>
      </c>
      <c r="B193" s="15" t="n"/>
      <c r="C193" s="4" t="n"/>
      <c r="D193" s="4" t="n"/>
      <c r="E193" s="4" t="n"/>
      <c r="F193" s="16" t="n"/>
      <c r="G193" s="4" t="n"/>
      <c r="H193" s="4" t="n"/>
      <c r="I193" s="4" t="n"/>
      <c r="J193" s="4" t="n"/>
    </row>
    <row r="194">
      <c r="A194" s="18">
        <f>IF(F194&lt;&gt;"",ROW()-4,"")</f>
        <v/>
      </c>
      <c r="B194" s="15" t="n"/>
      <c r="C194" s="4" t="n"/>
      <c r="D194" s="4" t="n"/>
      <c r="E194" s="4" t="n"/>
      <c r="F194" s="16" t="n"/>
      <c r="G194" s="4" t="n"/>
      <c r="H194" s="4" t="n"/>
      <c r="I194" s="4" t="n"/>
      <c r="J194" s="4" t="n"/>
    </row>
    <row r="195">
      <c r="A195" s="14">
        <f>IF(F195&lt;&gt;"",ROW()-4,"")</f>
        <v/>
      </c>
      <c r="B195" s="15" t="n"/>
      <c r="C195" s="4" t="n"/>
      <c r="D195" s="4" t="n"/>
      <c r="E195" s="4" t="n"/>
      <c r="F195" s="16" t="n"/>
      <c r="G195" s="4" t="n"/>
      <c r="H195" s="4" t="n"/>
      <c r="I195" s="4" t="n"/>
      <c r="J195" s="4" t="n"/>
    </row>
    <row r="196">
      <c r="A196" s="18">
        <f>IF(F196&lt;&gt;"",ROW()-4,"")</f>
        <v/>
      </c>
      <c r="B196" s="15" t="n"/>
      <c r="C196" s="4" t="n"/>
      <c r="D196" s="4" t="n"/>
      <c r="E196" s="4" t="n"/>
      <c r="F196" s="16" t="n"/>
      <c r="G196" s="4" t="n"/>
      <c r="H196" s="4" t="n"/>
      <c r="I196" s="4" t="n"/>
      <c r="J196" s="4" t="n"/>
    </row>
    <row r="197">
      <c r="A197" s="14">
        <f>IF(F197&lt;&gt;"",ROW()-4,"")</f>
        <v/>
      </c>
      <c r="B197" s="15" t="n"/>
      <c r="C197" s="4" t="n"/>
      <c r="D197" s="4" t="n"/>
      <c r="E197" s="4" t="n"/>
      <c r="F197" s="16" t="n"/>
      <c r="G197" s="4" t="n"/>
      <c r="H197" s="4" t="n"/>
      <c r="I197" s="4" t="n"/>
      <c r="J197" s="4" t="n"/>
    </row>
    <row r="198">
      <c r="A198" s="18">
        <f>IF(F198&lt;&gt;"",ROW()-4,"")</f>
        <v/>
      </c>
      <c r="B198" s="15" t="n"/>
      <c r="C198" s="4" t="n"/>
      <c r="D198" s="4" t="n"/>
      <c r="E198" s="4" t="n"/>
      <c r="F198" s="16" t="n"/>
      <c r="G198" s="4" t="n"/>
      <c r="H198" s="4" t="n"/>
      <c r="I198" s="4" t="n"/>
      <c r="J198" s="4" t="n"/>
    </row>
    <row r="199">
      <c r="A199" s="14">
        <f>IF(F199&lt;&gt;"",ROW()-4,"")</f>
        <v/>
      </c>
      <c r="B199" s="15" t="n"/>
      <c r="C199" s="4" t="n"/>
      <c r="D199" s="4" t="n"/>
      <c r="E199" s="4" t="n"/>
      <c r="F199" s="16" t="n"/>
      <c r="G199" s="4" t="n"/>
      <c r="H199" s="4" t="n"/>
      <c r="I199" s="4" t="n"/>
      <c r="J199" s="4" t="n"/>
    </row>
    <row r="200">
      <c r="A200" s="18">
        <f>IF(F200&lt;&gt;"",ROW()-4,"")</f>
        <v/>
      </c>
      <c r="B200" s="15" t="n"/>
      <c r="C200" s="4" t="n"/>
      <c r="D200" s="4" t="n"/>
      <c r="E200" s="4" t="n"/>
      <c r="F200" s="16" t="n"/>
      <c r="G200" s="4" t="n"/>
      <c r="H200" s="4" t="n"/>
      <c r="I200" s="4" t="n"/>
      <c r="J200" s="4" t="n"/>
    </row>
    <row r="201">
      <c r="A201" s="14">
        <f>IF(F201&lt;&gt;"",ROW()-4,"")</f>
        <v/>
      </c>
      <c r="B201" s="15" t="n"/>
      <c r="C201" s="4" t="n"/>
      <c r="D201" s="4" t="n"/>
      <c r="E201" s="4" t="n"/>
      <c r="F201" s="16" t="n"/>
      <c r="G201" s="4" t="n"/>
      <c r="H201" s="4" t="n"/>
      <c r="I201" s="4" t="n"/>
      <c r="J201" s="4" t="n"/>
    </row>
    <row r="202">
      <c r="A202" s="18">
        <f>IF(F202&lt;&gt;"",ROW()-4,"")</f>
        <v/>
      </c>
      <c r="B202" s="15" t="n"/>
      <c r="C202" s="4" t="n"/>
      <c r="D202" s="4" t="n"/>
      <c r="E202" s="4" t="n"/>
      <c r="F202" s="16" t="n"/>
      <c r="G202" s="4" t="n"/>
      <c r="H202" s="4" t="n"/>
      <c r="I202" s="4" t="n"/>
      <c r="J202" s="4" t="n"/>
    </row>
    <row r="203">
      <c r="A203" s="14">
        <f>IF(F203&lt;&gt;"",ROW()-4,"")</f>
        <v/>
      </c>
      <c r="B203" s="15" t="n"/>
      <c r="C203" s="4" t="n"/>
      <c r="D203" s="4" t="n"/>
      <c r="E203" s="4" t="n"/>
      <c r="F203" s="16" t="n"/>
      <c r="G203" s="4" t="n"/>
      <c r="H203" s="4" t="n"/>
      <c r="I203" s="4" t="n"/>
      <c r="J203" s="4" t="n"/>
    </row>
    <row r="204">
      <c r="A204" s="18">
        <f>IF(F204&lt;&gt;"",ROW()-4,"")</f>
        <v/>
      </c>
      <c r="B204" s="15" t="n"/>
      <c r="C204" s="4" t="n"/>
      <c r="D204" s="4" t="n"/>
      <c r="E204" s="4" t="n"/>
      <c r="F204" s="16" t="n"/>
      <c r="G204" s="4" t="n"/>
      <c r="H204" s="4" t="n"/>
      <c r="I204" s="4" t="n"/>
      <c r="J204" s="4" t="n"/>
    </row>
    <row r="205">
      <c r="A205" s="14">
        <f>IF(F205&lt;&gt;"",ROW()-4,"")</f>
        <v/>
      </c>
      <c r="B205" s="15" t="n"/>
      <c r="C205" s="4" t="n"/>
      <c r="D205" s="4" t="n"/>
      <c r="E205" s="4" t="n"/>
      <c r="F205" s="16" t="n"/>
      <c r="G205" s="4" t="n"/>
      <c r="H205" s="4" t="n"/>
      <c r="I205" s="4" t="n"/>
      <c r="J205" s="4" t="n"/>
    </row>
    <row r="206">
      <c r="A206" s="18">
        <f>IF(F206&lt;&gt;"",ROW()-4,"")</f>
        <v/>
      </c>
      <c r="B206" s="15" t="n"/>
      <c r="C206" s="4" t="n"/>
      <c r="D206" s="4" t="n"/>
      <c r="E206" s="4" t="n"/>
      <c r="F206" s="16" t="n"/>
      <c r="G206" s="4" t="n"/>
      <c r="H206" s="4" t="n"/>
      <c r="I206" s="4" t="n"/>
      <c r="J206" s="4" t="n"/>
    </row>
    <row r="207">
      <c r="A207" s="14">
        <f>IF(F207&lt;&gt;"",ROW()-4,"")</f>
        <v/>
      </c>
      <c r="B207" s="15" t="n"/>
      <c r="C207" s="4" t="n"/>
      <c r="D207" s="4" t="n"/>
      <c r="E207" s="4" t="n"/>
      <c r="F207" s="16" t="n"/>
      <c r="G207" s="4" t="n"/>
      <c r="H207" s="4" t="n"/>
      <c r="I207" s="4" t="n"/>
      <c r="J207" s="4" t="n"/>
    </row>
    <row r="208">
      <c r="A208" s="18">
        <f>IF(F208&lt;&gt;"",ROW()-4,"")</f>
        <v/>
      </c>
      <c r="B208" s="15" t="n"/>
      <c r="C208" s="4" t="n"/>
      <c r="D208" s="4" t="n"/>
      <c r="E208" s="4" t="n"/>
      <c r="F208" s="16" t="n"/>
      <c r="G208" s="4" t="n"/>
      <c r="H208" s="4" t="n"/>
      <c r="I208" s="4" t="n"/>
      <c r="J208" s="4" t="n"/>
    </row>
    <row r="209">
      <c r="A209" s="14">
        <f>IF(F209&lt;&gt;"",ROW()-4,"")</f>
        <v/>
      </c>
      <c r="B209" s="15" t="n"/>
      <c r="C209" s="4" t="n"/>
      <c r="D209" s="4" t="n"/>
      <c r="E209" s="4" t="n"/>
      <c r="F209" s="16" t="n"/>
      <c r="G209" s="4" t="n"/>
      <c r="H209" s="4" t="n"/>
      <c r="I209" s="4" t="n"/>
      <c r="J209" s="4" t="n"/>
    </row>
    <row r="210">
      <c r="A210" s="18">
        <f>IF(F210&lt;&gt;"",ROW()-4,"")</f>
        <v/>
      </c>
      <c r="B210" s="15" t="n"/>
      <c r="C210" s="4" t="n"/>
      <c r="D210" s="4" t="n"/>
      <c r="E210" s="4" t="n"/>
      <c r="F210" s="16" t="n"/>
      <c r="G210" s="4" t="n"/>
      <c r="H210" s="4" t="n"/>
      <c r="I210" s="4" t="n"/>
      <c r="J210" s="4" t="n"/>
    </row>
    <row r="211">
      <c r="A211" s="14">
        <f>IF(F211&lt;&gt;"",ROW()-4,"")</f>
        <v/>
      </c>
      <c r="B211" s="15" t="n"/>
      <c r="C211" s="4" t="n"/>
      <c r="D211" s="4" t="n"/>
      <c r="E211" s="4" t="n"/>
      <c r="F211" s="16" t="n"/>
      <c r="G211" s="4" t="n"/>
      <c r="H211" s="4" t="n"/>
      <c r="I211" s="4" t="n"/>
      <c r="J211" s="4" t="n"/>
    </row>
    <row r="212">
      <c r="A212" s="18">
        <f>IF(F212&lt;&gt;"",ROW()-4,"")</f>
        <v/>
      </c>
      <c r="B212" s="15" t="n"/>
      <c r="C212" s="4" t="n"/>
      <c r="D212" s="4" t="n"/>
      <c r="E212" s="4" t="n"/>
      <c r="F212" s="16" t="n"/>
      <c r="G212" s="4" t="n"/>
      <c r="H212" s="4" t="n"/>
      <c r="I212" s="4" t="n"/>
      <c r="J212" s="4" t="n"/>
    </row>
    <row r="213">
      <c r="A213" s="14">
        <f>IF(F213&lt;&gt;"",ROW()-4,"")</f>
        <v/>
      </c>
      <c r="B213" s="15" t="n"/>
      <c r="C213" s="4" t="n"/>
      <c r="D213" s="4" t="n"/>
      <c r="E213" s="4" t="n"/>
      <c r="F213" s="16" t="n"/>
      <c r="G213" s="4" t="n"/>
      <c r="H213" s="4" t="n"/>
      <c r="I213" s="4" t="n"/>
      <c r="J213" s="4" t="n"/>
    </row>
    <row r="214">
      <c r="A214" s="18">
        <f>IF(F214&lt;&gt;"",ROW()-4,"")</f>
        <v/>
      </c>
      <c r="B214" s="15" t="n"/>
      <c r="C214" s="4" t="n"/>
      <c r="D214" s="4" t="n"/>
      <c r="E214" s="4" t="n"/>
      <c r="F214" s="16" t="n"/>
      <c r="G214" s="4" t="n"/>
      <c r="H214" s="4" t="n"/>
      <c r="I214" s="4" t="n"/>
      <c r="J214" s="4" t="n"/>
    </row>
    <row r="215">
      <c r="A215" s="14">
        <f>IF(F215&lt;&gt;"",ROW()-4,"")</f>
        <v/>
      </c>
      <c r="B215" s="15" t="n"/>
      <c r="C215" s="4" t="n"/>
      <c r="D215" s="4" t="n"/>
      <c r="E215" s="4" t="n"/>
      <c r="F215" s="16" t="n"/>
      <c r="G215" s="4" t="n"/>
      <c r="H215" s="4" t="n"/>
      <c r="I215" s="4" t="n"/>
      <c r="J215" s="4" t="n"/>
    </row>
    <row r="216">
      <c r="A216" s="18">
        <f>IF(F216&lt;&gt;"",ROW()-4,"")</f>
        <v/>
      </c>
      <c r="B216" s="15" t="n"/>
      <c r="C216" s="4" t="n"/>
      <c r="D216" s="4" t="n"/>
      <c r="E216" s="4" t="n"/>
      <c r="F216" s="16" t="n"/>
      <c r="G216" s="4" t="n"/>
      <c r="H216" s="4" t="n"/>
      <c r="I216" s="4" t="n"/>
      <c r="J216" s="4" t="n"/>
    </row>
    <row r="217">
      <c r="A217" s="14">
        <f>IF(F217&lt;&gt;"",ROW()-4,"")</f>
        <v/>
      </c>
      <c r="B217" s="15" t="n"/>
      <c r="C217" s="4" t="n"/>
      <c r="D217" s="4" t="n"/>
      <c r="E217" s="4" t="n"/>
      <c r="F217" s="16" t="n"/>
      <c r="G217" s="4" t="n"/>
      <c r="H217" s="4" t="n"/>
      <c r="I217" s="4" t="n"/>
      <c r="J217" s="4" t="n"/>
    </row>
    <row r="218">
      <c r="A218" s="18">
        <f>IF(F218&lt;&gt;"",ROW()-4,"")</f>
        <v/>
      </c>
      <c r="B218" s="15" t="n"/>
      <c r="C218" s="4" t="n"/>
      <c r="D218" s="4" t="n"/>
      <c r="E218" s="4" t="n"/>
      <c r="F218" s="16" t="n"/>
      <c r="G218" s="4" t="n"/>
      <c r="H218" s="4" t="n"/>
      <c r="I218" s="4" t="n"/>
      <c r="J218" s="4" t="n"/>
    </row>
    <row r="219">
      <c r="A219" s="14">
        <f>IF(F219&lt;&gt;"",ROW()-4,"")</f>
        <v/>
      </c>
      <c r="B219" s="15" t="n"/>
      <c r="C219" s="4" t="n"/>
      <c r="D219" s="4" t="n"/>
      <c r="E219" s="4" t="n"/>
      <c r="F219" s="16" t="n"/>
      <c r="G219" s="4" t="n"/>
      <c r="H219" s="4" t="n"/>
      <c r="I219" s="4" t="n"/>
      <c r="J219" s="4" t="n"/>
    </row>
    <row r="220">
      <c r="A220" s="18">
        <f>IF(F220&lt;&gt;"",ROW()-4,"")</f>
        <v/>
      </c>
      <c r="B220" s="15" t="n"/>
      <c r="C220" s="4" t="n"/>
      <c r="D220" s="4" t="n"/>
      <c r="E220" s="4" t="n"/>
      <c r="F220" s="16" t="n"/>
      <c r="G220" s="4" t="n"/>
      <c r="H220" s="4" t="n"/>
      <c r="I220" s="4" t="n"/>
      <c r="J220" s="4" t="n"/>
    </row>
    <row r="221">
      <c r="A221" s="14">
        <f>IF(F221&lt;&gt;"",ROW()-4,"")</f>
        <v/>
      </c>
      <c r="B221" s="15" t="n"/>
      <c r="C221" s="4" t="n"/>
      <c r="D221" s="4" t="n"/>
      <c r="E221" s="4" t="n"/>
      <c r="F221" s="16" t="n"/>
      <c r="G221" s="4" t="n"/>
      <c r="H221" s="4" t="n"/>
      <c r="I221" s="4" t="n"/>
      <c r="J221" s="4" t="n"/>
    </row>
    <row r="222">
      <c r="A222" s="18">
        <f>IF(F222&lt;&gt;"",ROW()-4,"")</f>
        <v/>
      </c>
      <c r="B222" s="15" t="n"/>
      <c r="C222" s="4" t="n"/>
      <c r="D222" s="4" t="n"/>
      <c r="E222" s="4" t="n"/>
      <c r="F222" s="16" t="n"/>
      <c r="G222" s="4" t="n"/>
      <c r="H222" s="4" t="n"/>
      <c r="I222" s="4" t="n"/>
      <c r="J222" s="4" t="n"/>
    </row>
    <row r="223">
      <c r="A223" s="14">
        <f>IF(F223&lt;&gt;"",ROW()-4,"")</f>
        <v/>
      </c>
      <c r="B223" s="15" t="n"/>
      <c r="C223" s="4" t="n"/>
      <c r="D223" s="4" t="n"/>
      <c r="E223" s="4" t="n"/>
      <c r="F223" s="16" t="n"/>
      <c r="G223" s="4" t="n"/>
      <c r="H223" s="4" t="n"/>
      <c r="I223" s="4" t="n"/>
      <c r="J223" s="4" t="n"/>
    </row>
    <row r="224">
      <c r="A224" s="18">
        <f>IF(F224&lt;&gt;"",ROW()-4,"")</f>
        <v/>
      </c>
      <c r="B224" s="15" t="n"/>
      <c r="C224" s="4" t="n"/>
      <c r="D224" s="4" t="n"/>
      <c r="E224" s="4" t="n"/>
      <c r="F224" s="16" t="n"/>
      <c r="G224" s="4" t="n"/>
      <c r="H224" s="4" t="n"/>
      <c r="I224" s="4" t="n"/>
      <c r="J224" s="4" t="n"/>
    </row>
    <row r="225">
      <c r="A225" s="14">
        <f>IF(F225&lt;&gt;"",ROW()-4,"")</f>
        <v/>
      </c>
      <c r="B225" s="15" t="n"/>
      <c r="C225" s="4" t="n"/>
      <c r="D225" s="4" t="n"/>
      <c r="E225" s="4" t="n"/>
      <c r="F225" s="16" t="n"/>
      <c r="G225" s="4" t="n"/>
      <c r="H225" s="4" t="n"/>
      <c r="I225" s="4" t="n"/>
      <c r="J225" s="4" t="n"/>
    </row>
    <row r="226">
      <c r="A226" s="18">
        <f>IF(F226&lt;&gt;"",ROW()-4,"")</f>
        <v/>
      </c>
      <c r="B226" s="15" t="n"/>
      <c r="C226" s="4" t="n"/>
      <c r="D226" s="4" t="n"/>
      <c r="E226" s="4" t="n"/>
      <c r="F226" s="16" t="n"/>
      <c r="G226" s="4" t="n"/>
      <c r="H226" s="4" t="n"/>
      <c r="I226" s="4" t="n"/>
      <c r="J226" s="4" t="n"/>
    </row>
    <row r="227">
      <c r="A227" s="14">
        <f>IF(F227&lt;&gt;"",ROW()-4,"")</f>
        <v/>
      </c>
      <c r="B227" s="15" t="n"/>
      <c r="C227" s="4" t="n"/>
      <c r="D227" s="4" t="n"/>
      <c r="E227" s="4" t="n"/>
      <c r="F227" s="16" t="n"/>
      <c r="G227" s="4" t="n"/>
      <c r="H227" s="4" t="n"/>
      <c r="I227" s="4" t="n"/>
      <c r="J227" s="4" t="n"/>
    </row>
    <row r="228">
      <c r="A228" s="18">
        <f>IF(F228&lt;&gt;"",ROW()-4,"")</f>
        <v/>
      </c>
      <c r="B228" s="15" t="n"/>
      <c r="C228" s="4" t="n"/>
      <c r="D228" s="4" t="n"/>
      <c r="E228" s="4" t="n"/>
      <c r="F228" s="16" t="n"/>
      <c r="G228" s="4" t="n"/>
      <c r="H228" s="4" t="n"/>
      <c r="I228" s="4" t="n"/>
      <c r="J228" s="4" t="n"/>
    </row>
    <row r="229">
      <c r="A229" s="14">
        <f>IF(F229&lt;&gt;"",ROW()-4,"")</f>
        <v/>
      </c>
      <c r="B229" s="15" t="n"/>
      <c r="C229" s="4" t="n"/>
      <c r="D229" s="4" t="n"/>
      <c r="E229" s="4" t="n"/>
      <c r="F229" s="16" t="n"/>
      <c r="G229" s="4" t="n"/>
      <c r="H229" s="4" t="n"/>
      <c r="I229" s="4" t="n"/>
      <c r="J229" s="4" t="n"/>
    </row>
    <row r="230">
      <c r="A230" s="18">
        <f>IF(F230&lt;&gt;"",ROW()-4,"")</f>
        <v/>
      </c>
      <c r="B230" s="15" t="n"/>
      <c r="C230" s="4" t="n"/>
      <c r="D230" s="4" t="n"/>
      <c r="E230" s="4" t="n"/>
      <c r="F230" s="16" t="n"/>
      <c r="G230" s="4" t="n"/>
      <c r="H230" s="4" t="n"/>
      <c r="I230" s="4" t="n"/>
      <c r="J230" s="4" t="n"/>
    </row>
    <row r="231">
      <c r="A231" s="14">
        <f>IF(F231&lt;&gt;"",ROW()-4,"")</f>
        <v/>
      </c>
      <c r="B231" s="15" t="n"/>
      <c r="C231" s="4" t="n"/>
      <c r="D231" s="4" t="n"/>
      <c r="E231" s="4" t="n"/>
      <c r="F231" s="16" t="n"/>
      <c r="G231" s="4" t="n"/>
      <c r="H231" s="4" t="n"/>
      <c r="I231" s="4" t="n"/>
      <c r="J231" s="4" t="n"/>
    </row>
    <row r="232">
      <c r="A232" s="18">
        <f>IF(F232&lt;&gt;"",ROW()-4,"")</f>
        <v/>
      </c>
      <c r="B232" s="15" t="n"/>
      <c r="C232" s="4" t="n"/>
      <c r="D232" s="4" t="n"/>
      <c r="E232" s="4" t="n"/>
      <c r="F232" s="16" t="n"/>
      <c r="G232" s="4" t="n"/>
      <c r="H232" s="4" t="n"/>
      <c r="I232" s="4" t="n"/>
      <c r="J232" s="4" t="n"/>
    </row>
    <row r="233">
      <c r="A233" s="14">
        <f>IF(F233&lt;&gt;"",ROW()-4,"")</f>
        <v/>
      </c>
      <c r="B233" s="15" t="n"/>
      <c r="C233" s="4" t="n"/>
      <c r="D233" s="4" t="n"/>
      <c r="E233" s="4" t="n"/>
      <c r="F233" s="16" t="n"/>
      <c r="G233" s="4" t="n"/>
      <c r="H233" s="4" t="n"/>
      <c r="I233" s="4" t="n"/>
      <c r="J233" s="4" t="n"/>
    </row>
    <row r="234">
      <c r="A234" s="18">
        <f>IF(F234&lt;&gt;"",ROW()-4,"")</f>
        <v/>
      </c>
      <c r="B234" s="15" t="n"/>
      <c r="C234" s="4" t="n"/>
      <c r="D234" s="4" t="n"/>
      <c r="E234" s="4" t="n"/>
      <c r="F234" s="16" t="n"/>
      <c r="G234" s="4" t="n"/>
      <c r="H234" s="4" t="n"/>
      <c r="I234" s="4" t="n"/>
      <c r="J234" s="4" t="n"/>
    </row>
    <row r="235">
      <c r="A235" s="14">
        <f>IF(F235&lt;&gt;"",ROW()-4,"")</f>
        <v/>
      </c>
      <c r="B235" s="15" t="n"/>
      <c r="C235" s="4" t="n"/>
      <c r="D235" s="4" t="n"/>
      <c r="E235" s="4" t="n"/>
      <c r="F235" s="16" t="n"/>
      <c r="G235" s="4" t="n"/>
      <c r="H235" s="4" t="n"/>
      <c r="I235" s="4" t="n"/>
      <c r="J235" s="4" t="n"/>
    </row>
    <row r="236">
      <c r="A236" s="18">
        <f>IF(F236&lt;&gt;"",ROW()-4,"")</f>
        <v/>
      </c>
      <c r="B236" s="15" t="n"/>
      <c r="C236" s="4" t="n"/>
      <c r="D236" s="4" t="n"/>
      <c r="E236" s="4" t="n"/>
      <c r="F236" s="16" t="n"/>
      <c r="G236" s="4" t="n"/>
      <c r="H236" s="4" t="n"/>
      <c r="I236" s="4" t="n"/>
      <c r="J236" s="4" t="n"/>
    </row>
    <row r="237">
      <c r="A237" s="14">
        <f>IF(F237&lt;&gt;"",ROW()-4,"")</f>
        <v/>
      </c>
      <c r="B237" s="15" t="n"/>
      <c r="C237" s="4" t="n"/>
      <c r="D237" s="4" t="n"/>
      <c r="E237" s="4" t="n"/>
      <c r="F237" s="16" t="n"/>
      <c r="G237" s="4" t="n"/>
      <c r="H237" s="4" t="n"/>
      <c r="I237" s="4" t="n"/>
      <c r="J237" s="4" t="n"/>
    </row>
    <row r="238">
      <c r="A238" s="18">
        <f>IF(F238&lt;&gt;"",ROW()-4,"")</f>
        <v/>
      </c>
      <c r="B238" s="15" t="n"/>
      <c r="C238" s="4" t="n"/>
      <c r="D238" s="4" t="n"/>
      <c r="E238" s="4" t="n"/>
      <c r="F238" s="16" t="n"/>
      <c r="G238" s="4" t="n"/>
      <c r="H238" s="4" t="n"/>
      <c r="I238" s="4" t="n"/>
      <c r="J238" s="4" t="n"/>
    </row>
    <row r="239">
      <c r="A239" s="14">
        <f>IF(F239&lt;&gt;"",ROW()-4,"")</f>
        <v/>
      </c>
      <c r="B239" s="15" t="n"/>
      <c r="C239" s="4" t="n"/>
      <c r="D239" s="4" t="n"/>
      <c r="E239" s="4" t="n"/>
      <c r="F239" s="16" t="n"/>
      <c r="G239" s="4" t="n"/>
      <c r="H239" s="4" t="n"/>
      <c r="I239" s="4" t="n"/>
      <c r="J239" s="4" t="n"/>
    </row>
    <row r="240">
      <c r="A240" s="18">
        <f>IF(F240&lt;&gt;"",ROW()-4,"")</f>
        <v/>
      </c>
      <c r="B240" s="15" t="n"/>
      <c r="C240" s="4" t="n"/>
      <c r="D240" s="4" t="n"/>
      <c r="E240" s="4" t="n"/>
      <c r="F240" s="16" t="n"/>
      <c r="G240" s="4" t="n"/>
      <c r="H240" s="4" t="n"/>
      <c r="I240" s="4" t="n"/>
      <c r="J240" s="4" t="n"/>
    </row>
    <row r="241">
      <c r="A241" s="14">
        <f>IF(F241&lt;&gt;"",ROW()-4,"")</f>
        <v/>
      </c>
      <c r="B241" s="15" t="n"/>
      <c r="C241" s="4" t="n"/>
      <c r="D241" s="4" t="n"/>
      <c r="E241" s="4" t="n"/>
      <c r="F241" s="16" t="n"/>
      <c r="G241" s="4" t="n"/>
      <c r="H241" s="4" t="n"/>
      <c r="I241" s="4" t="n"/>
      <c r="J241" s="4" t="n"/>
    </row>
    <row r="242">
      <c r="A242" s="18">
        <f>IF(F242&lt;&gt;"",ROW()-4,"")</f>
        <v/>
      </c>
      <c r="B242" s="15" t="n"/>
      <c r="C242" s="4" t="n"/>
      <c r="D242" s="4" t="n"/>
      <c r="E242" s="4" t="n"/>
      <c r="F242" s="16" t="n"/>
      <c r="G242" s="4" t="n"/>
      <c r="H242" s="4" t="n"/>
      <c r="I242" s="4" t="n"/>
      <c r="J242" s="4" t="n"/>
    </row>
    <row r="243">
      <c r="A243" s="14">
        <f>IF(F243&lt;&gt;"",ROW()-4,"")</f>
        <v/>
      </c>
      <c r="B243" s="15" t="n"/>
      <c r="C243" s="4" t="n"/>
      <c r="D243" s="4" t="n"/>
      <c r="E243" s="4" t="n"/>
      <c r="F243" s="16" t="n"/>
      <c r="G243" s="4" t="n"/>
      <c r="H243" s="4" t="n"/>
      <c r="I243" s="4" t="n"/>
      <c r="J243" s="4" t="n"/>
    </row>
    <row r="244">
      <c r="A244" s="18">
        <f>IF(F244&lt;&gt;"",ROW()-4,"")</f>
        <v/>
      </c>
      <c r="B244" s="15" t="n"/>
      <c r="C244" s="4" t="n"/>
      <c r="D244" s="4" t="n"/>
      <c r="E244" s="4" t="n"/>
      <c r="F244" s="16" t="n"/>
      <c r="G244" s="4" t="n"/>
      <c r="H244" s="4" t="n"/>
      <c r="I244" s="4" t="n"/>
      <c r="J244" s="4" t="n"/>
    </row>
    <row r="245">
      <c r="A245" s="14">
        <f>IF(F245&lt;&gt;"",ROW()-4,"")</f>
        <v/>
      </c>
      <c r="B245" s="15" t="n"/>
      <c r="C245" s="4" t="n"/>
      <c r="D245" s="4" t="n"/>
      <c r="E245" s="4" t="n"/>
      <c r="F245" s="16" t="n"/>
      <c r="G245" s="4" t="n"/>
      <c r="H245" s="4" t="n"/>
      <c r="I245" s="4" t="n"/>
      <c r="J245" s="4" t="n"/>
    </row>
    <row r="246">
      <c r="A246" s="18">
        <f>IF(F246&lt;&gt;"",ROW()-4,"")</f>
        <v/>
      </c>
      <c r="B246" s="15" t="n"/>
      <c r="C246" s="4" t="n"/>
      <c r="D246" s="4" t="n"/>
      <c r="E246" s="4" t="n"/>
      <c r="F246" s="16" t="n"/>
      <c r="G246" s="4" t="n"/>
      <c r="H246" s="4" t="n"/>
      <c r="I246" s="4" t="n"/>
      <c r="J246" s="4" t="n"/>
    </row>
    <row r="247">
      <c r="A247" s="14">
        <f>IF(F247&lt;&gt;"",ROW()-4,"")</f>
        <v/>
      </c>
      <c r="B247" s="15" t="n"/>
      <c r="C247" s="4" t="n"/>
      <c r="D247" s="4" t="n"/>
      <c r="E247" s="4" t="n"/>
      <c r="F247" s="16" t="n"/>
      <c r="G247" s="4" t="n"/>
      <c r="H247" s="4" t="n"/>
      <c r="I247" s="4" t="n"/>
      <c r="J247" s="4" t="n"/>
    </row>
    <row r="248">
      <c r="A248" s="18">
        <f>IF(F248&lt;&gt;"",ROW()-4,"")</f>
        <v/>
      </c>
      <c r="B248" s="15" t="n"/>
      <c r="C248" s="4" t="n"/>
      <c r="D248" s="4" t="n"/>
      <c r="E248" s="4" t="n"/>
      <c r="F248" s="16" t="n"/>
      <c r="G248" s="4" t="n"/>
      <c r="H248" s="4" t="n"/>
      <c r="I248" s="4" t="n"/>
      <c r="J248" s="4" t="n"/>
    </row>
    <row r="249">
      <c r="A249" s="14">
        <f>IF(F249&lt;&gt;"",ROW()-4,"")</f>
        <v/>
      </c>
      <c r="B249" s="15" t="n"/>
      <c r="C249" s="4" t="n"/>
      <c r="D249" s="4" t="n"/>
      <c r="E249" s="4" t="n"/>
      <c r="F249" s="16" t="n"/>
      <c r="G249" s="4" t="n"/>
      <c r="H249" s="4" t="n"/>
      <c r="I249" s="4" t="n"/>
      <c r="J249" s="4" t="n"/>
    </row>
    <row r="250">
      <c r="A250" s="18">
        <f>IF(F250&lt;&gt;"",ROW()-4,"")</f>
        <v/>
      </c>
      <c r="B250" s="15" t="n"/>
      <c r="C250" s="4" t="n"/>
      <c r="D250" s="4" t="n"/>
      <c r="E250" s="4" t="n"/>
      <c r="F250" s="16" t="n"/>
      <c r="G250" s="4" t="n"/>
      <c r="H250" s="4" t="n"/>
      <c r="I250" s="4" t="n"/>
      <c r="J250" s="4" t="n"/>
    </row>
    <row r="251">
      <c r="A251" s="14">
        <f>IF(F251&lt;&gt;"",ROW()-4,"")</f>
        <v/>
      </c>
      <c r="B251" s="15" t="n"/>
      <c r="C251" s="4" t="n"/>
      <c r="D251" s="4" t="n"/>
      <c r="E251" s="4" t="n"/>
      <c r="F251" s="16" t="n"/>
      <c r="G251" s="4" t="n"/>
      <c r="H251" s="4" t="n"/>
      <c r="I251" s="4" t="n"/>
      <c r="J251" s="4" t="n"/>
    </row>
    <row r="252">
      <c r="A252" s="18">
        <f>IF(F252&lt;&gt;"",ROW()-4,"")</f>
        <v/>
      </c>
      <c r="B252" s="15" t="n"/>
      <c r="C252" s="4" t="n"/>
      <c r="D252" s="4" t="n"/>
      <c r="E252" s="4" t="n"/>
      <c r="F252" s="16" t="n"/>
      <c r="G252" s="4" t="n"/>
      <c r="H252" s="4" t="n"/>
      <c r="I252" s="4" t="n"/>
      <c r="J252" s="4" t="n"/>
    </row>
    <row r="253">
      <c r="A253" s="14">
        <f>IF(F253&lt;&gt;"",ROW()-4,"")</f>
        <v/>
      </c>
      <c r="B253" s="15" t="n"/>
      <c r="C253" s="4" t="n"/>
      <c r="D253" s="4" t="n"/>
      <c r="E253" s="4" t="n"/>
      <c r="F253" s="16" t="n"/>
      <c r="G253" s="4" t="n"/>
      <c r="H253" s="4" t="n"/>
      <c r="I253" s="4" t="n"/>
      <c r="J253" s="4" t="n"/>
    </row>
    <row r="254">
      <c r="A254" s="18">
        <f>IF(F254&lt;&gt;"",ROW()-4,"")</f>
        <v/>
      </c>
      <c r="B254" s="15" t="n"/>
      <c r="C254" s="4" t="n"/>
      <c r="D254" s="4" t="n"/>
      <c r="E254" s="4" t="n"/>
      <c r="F254" s="16" t="n"/>
      <c r="G254" s="4" t="n"/>
      <c r="H254" s="4" t="n"/>
      <c r="I254" s="4" t="n"/>
      <c r="J254" s="4" t="n"/>
    </row>
    <row r="255">
      <c r="A255" s="14">
        <f>IF(F255&lt;&gt;"",ROW()-4,"")</f>
        <v/>
      </c>
      <c r="B255" s="15" t="n"/>
      <c r="C255" s="4" t="n"/>
      <c r="D255" s="4" t="n"/>
      <c r="E255" s="4" t="n"/>
      <c r="F255" s="16" t="n"/>
      <c r="G255" s="4" t="n"/>
      <c r="H255" s="4" t="n"/>
      <c r="I255" s="4" t="n"/>
      <c r="J255" s="4" t="n"/>
    </row>
    <row r="256" ht="24" customHeight="1">
      <c r="A256" s="19" t="inlineStr">
        <is>
          <t>TOTAL EXPENSES THIS MONTH</t>
        </is>
      </c>
      <c r="F256" s="11">
        <f>SUM(F5:F255)</f>
        <v/>
      </c>
      <c r="G256" s="12" t="n"/>
      <c r="H256" s="12" t="n"/>
      <c r="I256" s="12" t="n"/>
      <c r="J256" s="12" t="n"/>
    </row>
  </sheetData>
  <mergeCells count="3">
    <mergeCell ref="A1:J1"/>
    <mergeCell ref="A2:J2"/>
    <mergeCell ref="A256:E256"/>
  </mergeCells>
  <conditionalFormatting sqref="A5:J255">
    <cfRule type="expression" priority="1" dxfId="0">
      <formula>$D5="Fixed Bills"</formula>
    </cfRule>
    <cfRule type="expression" priority="2" dxfId="1">
      <formula>$D5="Food &amp; Dining"</formula>
    </cfRule>
    <cfRule type="expression" priority="3" dxfId="2">
      <formula>$D5="Transport &amp; Fuel"</formula>
    </cfRule>
    <cfRule type="expression" priority="4" dxfId="3">
      <formula>$D5="Shopping &amp; Clothing"</formula>
    </cfRule>
    <cfRule type="expression" priority="5" dxfId="4">
      <formula>$D5="Entertainment &amp; OTT"</formula>
    </cfRule>
    <cfRule type="expression" priority="6" dxfId="5">
      <formula>$D5="Groceries"</formula>
    </cfRule>
    <cfRule type="expression" priority="7" dxfId="6">
      <formula>$D5="Investment"</formula>
    </cfRule>
    <cfRule type="expression" priority="8" dxfId="7">
      <formula>$D5="Added to Savings"</formula>
    </cfRule>
    <cfRule type="expression" priority="9" dxfId="8">
      <formula>$D5="Credit Card Payment"</formula>
    </cfRule>
    <cfRule type="expression" priority="10" dxfId="9">
      <formula>$D5="Miscellaneous"</formula>
    </cfRule>
  </conditionalFormatting>
  <dataValidations count="5">
    <dataValidation sqref="D5:D255" showErrorMessage="1" showInputMessage="1" allowBlank="1" errorTitle="Invalid Category" error="Pick a category from the list" type="list">
      <formula1>_Lists!$A$1:$A$10</formula1>
    </dataValidation>
    <dataValidation sqref="E5:E255" showErrorMessage="1" showDropDown="0" showInputMessage="1" allowBlank="1" type="list">
      <formula1>_Lists!$O$1:$O$41</formula1>
    </dataValidation>
    <dataValidation sqref="G5:G255" showErrorMessage="1" showInputMessage="1" allowBlank="1" type="list">
      <formula1>_Lists!$Q$1:$Q$8</formula1>
    </dataValidation>
    <dataValidation sqref="H5:H255" showErrorMessage="1" showInputMessage="1" allowBlank="1" type="list">
      <formula1>Setup!$D$5:$D$9</formula1>
    </dataValidation>
    <dataValidation sqref="I5:I255" showErrorMessage="1" showInputMessage="1" allowBlank="1" type="list">
      <formula1>_Lists!$R$1:$R$10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</cols>
  <sheetData>
    <row r="1" ht="34" customHeight="1">
      <c r="A1" s="6" t="inlineStr">
        <is>
          <t>💳  CREDIT CARD TRACKER  —  Auto-updated from monthly expense sheets</t>
        </is>
      </c>
    </row>
    <row r="3">
      <c r="A3" s="2" t="inlineStr">
        <is>
          <t>⚙️  CARD SETUP (edit in Setup sheet)</t>
        </is>
      </c>
    </row>
    <row r="4">
      <c r="A4" s="3" t="inlineStr">
        <is>
          <t>#</t>
        </is>
      </c>
      <c r="B4" s="3" t="inlineStr">
        <is>
          <t>Card Name</t>
        </is>
      </c>
      <c r="C4" s="3" t="inlineStr">
        <is>
          <t>Credit Limit (₹)</t>
        </is>
      </c>
      <c r="D4" s="3" t="inlineStr">
        <is>
          <t>Opening Dues (₹)</t>
        </is>
      </c>
      <c r="E4" s="3" t="inlineStr">
        <is>
          <t>Total Spent (₹)</t>
        </is>
      </c>
      <c r="F4" s="3" t="inlineStr">
        <is>
          <t>Total Paid (₹)</t>
        </is>
      </c>
      <c r="G4" s="3" t="inlineStr">
        <is>
          <t>Balance Owed (₹)</t>
        </is>
      </c>
      <c r="H4" s="3" t="inlineStr">
        <is>
          <t>Available Credit (₹)</t>
        </is>
      </c>
    </row>
    <row r="5">
      <c r="A5" s="20" t="n">
        <v>1</v>
      </c>
      <c r="B5" s="21">
        <f>Setup!D5</f>
        <v/>
      </c>
      <c r="C5" s="8">
        <f>Setup!E5</f>
        <v/>
      </c>
      <c r="D5" s="8">
        <f>Setup!F5</f>
        <v/>
      </c>
      <c r="E5" s="9">
        <f>SUMIF('April'!H:H,B5,'April'!F:F)+SUMIF('May'!H:H,B5,'May'!F:F)+SUMIF('June'!H:H,B5,'June'!F:F)+SUMIF('July'!H:H,B5,'July'!F:F)+SUMIF('August'!H:H,B5,'August'!F:F)+SUMIF('September'!H:H,B5,'September'!F:F)+SUMIF('October'!H:H,B5,'October'!F:F)+SUMIF('November'!H:H,B5,'November'!F:F)+SUMIF('December'!H:H,B5,'December'!F:F)+SUMIF('January'!H:H,B5,'January'!F:F)+SUMIF('February'!H:H,B5,'February'!F:F)+SUMIF('March'!H:H,B5,'March'!F:F)</f>
        <v/>
      </c>
      <c r="F5" s="9">
        <f>SUMIFS('April'!F:F,'April'!D:D,"Credit Card Payment",'April'!I:I,B5)+SUMIFS('May'!F:F,'May'!D:D,"Credit Card Payment",'May'!I:I,B5)+SUMIFS('June'!F:F,'June'!D:D,"Credit Card Payment",'June'!I:I,B5)+SUMIFS('July'!F:F,'July'!D:D,"Credit Card Payment",'July'!I:I,B5)+SUMIFS('August'!F:F,'August'!D:D,"Credit Card Payment",'August'!I:I,B5)+SUMIFS('September'!F:F,'September'!D:D,"Credit Card Payment",'September'!I:I,B5)+SUMIFS('October'!F:F,'October'!D:D,"Credit Card Payment",'October'!I:I,B5)+SUMIFS('November'!F:F,'November'!D:D,"Credit Card Payment",'November'!I:I,B5)+SUMIFS('December'!F:F,'December'!D:D,"Credit Card Payment",'December'!I:I,B5)+SUMIFS('January'!F:F,'January'!D:D,"Credit Card Payment",'January'!I:I,B5)+SUMIFS('February'!F:F,'February'!D:D,"Credit Card Payment",'February'!I:I,B5)+SUMIFS('March'!F:F,'March'!D:D,"Credit Card Payment",'March'!I:I,B5)</f>
        <v/>
      </c>
      <c r="G5" s="9">
        <f>D5+E5-F5</f>
        <v/>
      </c>
      <c r="H5" s="9">
        <f>IF(C5&gt;0,C5-G5,"")</f>
        <v/>
      </c>
    </row>
    <row r="6">
      <c r="A6" s="20" t="n">
        <v>2</v>
      </c>
      <c r="B6" s="21">
        <f>Setup!D6</f>
        <v/>
      </c>
      <c r="C6" s="8">
        <f>Setup!E6</f>
        <v/>
      </c>
      <c r="D6" s="8">
        <f>Setup!F6</f>
        <v/>
      </c>
      <c r="E6" s="9">
        <f>SUMIF('April'!H:H,B6,'April'!F:F)+SUMIF('May'!H:H,B6,'May'!F:F)+SUMIF('June'!H:H,B6,'June'!F:F)+SUMIF('July'!H:H,B6,'July'!F:F)+SUMIF('August'!H:H,B6,'August'!F:F)+SUMIF('September'!H:H,B6,'September'!F:F)+SUMIF('October'!H:H,B6,'October'!F:F)+SUMIF('November'!H:H,B6,'November'!F:F)+SUMIF('December'!H:H,B6,'December'!F:F)+SUMIF('January'!H:H,B6,'January'!F:F)+SUMIF('February'!H:H,B6,'February'!F:F)+SUMIF('March'!H:H,B6,'March'!F:F)</f>
        <v/>
      </c>
      <c r="F6" s="9">
        <f>SUMIFS('April'!F:F,'April'!D:D,"Credit Card Payment",'April'!I:I,B6)+SUMIFS('May'!F:F,'May'!D:D,"Credit Card Payment",'May'!I:I,B6)+SUMIFS('June'!F:F,'June'!D:D,"Credit Card Payment",'June'!I:I,B6)+SUMIFS('July'!F:F,'July'!D:D,"Credit Card Payment",'July'!I:I,B6)+SUMIFS('August'!F:F,'August'!D:D,"Credit Card Payment",'August'!I:I,B6)+SUMIFS('September'!F:F,'September'!D:D,"Credit Card Payment",'September'!I:I,B6)+SUMIFS('October'!F:F,'October'!D:D,"Credit Card Payment",'October'!I:I,B6)+SUMIFS('November'!F:F,'November'!D:D,"Credit Card Payment",'November'!I:I,B6)+SUMIFS('December'!F:F,'December'!D:D,"Credit Card Payment",'December'!I:I,B6)+SUMIFS('January'!F:F,'January'!D:D,"Credit Card Payment",'January'!I:I,B6)+SUMIFS('February'!F:F,'February'!D:D,"Credit Card Payment",'February'!I:I,B6)+SUMIFS('March'!F:F,'March'!D:D,"Credit Card Payment",'March'!I:I,B6)</f>
        <v/>
      </c>
      <c r="G6" s="9">
        <f>D6+E6-F6</f>
        <v/>
      </c>
      <c r="H6" s="9">
        <f>IF(C6&gt;0,C6-G6,"")</f>
        <v/>
      </c>
    </row>
    <row r="7">
      <c r="A7" s="20" t="n">
        <v>3</v>
      </c>
      <c r="B7" s="21">
        <f>Setup!D7</f>
        <v/>
      </c>
      <c r="C7" s="8">
        <f>Setup!E7</f>
        <v/>
      </c>
      <c r="D7" s="8">
        <f>Setup!F7</f>
        <v/>
      </c>
      <c r="E7" s="9">
        <f>SUMIF('April'!H:H,B7,'April'!F:F)+SUMIF('May'!H:H,B7,'May'!F:F)+SUMIF('June'!H:H,B7,'June'!F:F)+SUMIF('July'!H:H,B7,'July'!F:F)+SUMIF('August'!H:H,B7,'August'!F:F)+SUMIF('September'!H:H,B7,'September'!F:F)+SUMIF('October'!H:H,B7,'October'!F:F)+SUMIF('November'!H:H,B7,'November'!F:F)+SUMIF('December'!H:H,B7,'December'!F:F)+SUMIF('January'!H:H,B7,'January'!F:F)+SUMIF('February'!H:H,B7,'February'!F:F)+SUMIF('March'!H:H,B7,'March'!F:F)</f>
        <v/>
      </c>
      <c r="F7" s="9">
        <f>SUMIFS('April'!F:F,'April'!D:D,"Credit Card Payment",'April'!I:I,B7)+SUMIFS('May'!F:F,'May'!D:D,"Credit Card Payment",'May'!I:I,B7)+SUMIFS('June'!F:F,'June'!D:D,"Credit Card Payment",'June'!I:I,B7)+SUMIFS('July'!F:F,'July'!D:D,"Credit Card Payment",'July'!I:I,B7)+SUMIFS('August'!F:F,'August'!D:D,"Credit Card Payment",'August'!I:I,B7)+SUMIFS('September'!F:F,'September'!D:D,"Credit Card Payment",'September'!I:I,B7)+SUMIFS('October'!F:F,'October'!D:D,"Credit Card Payment",'October'!I:I,B7)+SUMIFS('November'!F:F,'November'!D:D,"Credit Card Payment",'November'!I:I,B7)+SUMIFS('December'!F:F,'December'!D:D,"Credit Card Payment",'December'!I:I,B7)+SUMIFS('January'!F:F,'January'!D:D,"Credit Card Payment",'January'!I:I,B7)+SUMIFS('February'!F:F,'February'!D:D,"Credit Card Payment",'February'!I:I,B7)+SUMIFS('March'!F:F,'March'!D:D,"Credit Card Payment",'March'!I:I,B7)</f>
        <v/>
      </c>
      <c r="G7" s="9">
        <f>D7+E7-F7</f>
        <v/>
      </c>
      <c r="H7" s="9">
        <f>IF(C7&gt;0,C7-G7,"")</f>
        <v/>
      </c>
    </row>
    <row r="8">
      <c r="A8" s="20" t="n">
        <v>4</v>
      </c>
      <c r="B8" s="21">
        <f>Setup!D8</f>
        <v/>
      </c>
      <c r="C8" s="8">
        <f>Setup!E8</f>
        <v/>
      </c>
      <c r="D8" s="8">
        <f>Setup!F8</f>
        <v/>
      </c>
      <c r="E8" s="9">
        <f>SUMIF('April'!H:H,B8,'April'!F:F)+SUMIF('May'!H:H,B8,'May'!F:F)+SUMIF('June'!H:H,B8,'June'!F:F)+SUMIF('July'!H:H,B8,'July'!F:F)+SUMIF('August'!H:H,B8,'August'!F:F)+SUMIF('September'!H:H,B8,'September'!F:F)+SUMIF('October'!H:H,B8,'October'!F:F)+SUMIF('November'!H:H,B8,'November'!F:F)+SUMIF('December'!H:H,B8,'December'!F:F)+SUMIF('January'!H:H,B8,'January'!F:F)+SUMIF('February'!H:H,B8,'February'!F:F)+SUMIF('March'!H:H,B8,'March'!F:F)</f>
        <v/>
      </c>
      <c r="F8" s="9">
        <f>SUMIFS('April'!F:F,'April'!D:D,"Credit Card Payment",'April'!I:I,B8)+SUMIFS('May'!F:F,'May'!D:D,"Credit Card Payment",'May'!I:I,B8)+SUMIFS('June'!F:F,'June'!D:D,"Credit Card Payment",'June'!I:I,B8)+SUMIFS('July'!F:F,'July'!D:D,"Credit Card Payment",'July'!I:I,B8)+SUMIFS('August'!F:F,'August'!D:D,"Credit Card Payment",'August'!I:I,B8)+SUMIFS('September'!F:F,'September'!D:D,"Credit Card Payment",'September'!I:I,B8)+SUMIFS('October'!F:F,'October'!D:D,"Credit Card Payment",'October'!I:I,B8)+SUMIFS('November'!F:F,'November'!D:D,"Credit Card Payment",'November'!I:I,B8)+SUMIFS('December'!F:F,'December'!D:D,"Credit Card Payment",'December'!I:I,B8)+SUMIFS('January'!F:F,'January'!D:D,"Credit Card Payment",'January'!I:I,B8)+SUMIFS('February'!F:F,'February'!D:D,"Credit Card Payment",'February'!I:I,B8)+SUMIFS('March'!F:F,'March'!D:D,"Credit Card Payment",'March'!I:I,B8)</f>
        <v/>
      </c>
      <c r="G8" s="9">
        <f>D8+E8-F8</f>
        <v/>
      </c>
      <c r="H8" s="9">
        <f>IF(C8&gt;0,C8-G8,"")</f>
        <v/>
      </c>
    </row>
    <row r="9">
      <c r="A9" s="20" t="n">
        <v>5</v>
      </c>
      <c r="B9" s="21">
        <f>Setup!D9</f>
        <v/>
      </c>
      <c r="C9" s="8">
        <f>Setup!E9</f>
        <v/>
      </c>
      <c r="D9" s="8">
        <f>Setup!F9</f>
        <v/>
      </c>
      <c r="E9" s="9">
        <f>SUMIF('April'!H:H,B9,'April'!F:F)+SUMIF('May'!H:H,B9,'May'!F:F)+SUMIF('June'!H:H,B9,'June'!F:F)+SUMIF('July'!H:H,B9,'July'!F:F)+SUMIF('August'!H:H,B9,'August'!F:F)+SUMIF('September'!H:H,B9,'September'!F:F)+SUMIF('October'!H:H,B9,'October'!F:F)+SUMIF('November'!H:H,B9,'November'!F:F)+SUMIF('December'!H:H,B9,'December'!F:F)+SUMIF('January'!H:H,B9,'January'!F:F)+SUMIF('February'!H:H,B9,'February'!F:F)+SUMIF('March'!H:H,B9,'March'!F:F)</f>
        <v/>
      </c>
      <c r="F9" s="9">
        <f>SUMIFS('April'!F:F,'April'!D:D,"Credit Card Payment",'April'!I:I,B9)+SUMIFS('May'!F:F,'May'!D:D,"Credit Card Payment",'May'!I:I,B9)+SUMIFS('June'!F:F,'June'!D:D,"Credit Card Payment",'June'!I:I,B9)+SUMIFS('July'!F:F,'July'!D:D,"Credit Card Payment",'July'!I:I,B9)+SUMIFS('August'!F:F,'August'!D:D,"Credit Card Payment",'August'!I:I,B9)+SUMIFS('September'!F:F,'September'!D:D,"Credit Card Payment",'September'!I:I,B9)+SUMIFS('October'!F:F,'October'!D:D,"Credit Card Payment",'October'!I:I,B9)+SUMIFS('November'!F:F,'November'!D:D,"Credit Card Payment",'November'!I:I,B9)+SUMIFS('December'!F:F,'December'!D:D,"Credit Card Payment",'December'!I:I,B9)+SUMIFS('January'!F:F,'January'!D:D,"Credit Card Payment",'January'!I:I,B9)+SUMIFS('February'!F:F,'February'!D:D,"Credit Card Payment",'February'!I:I,B9)+SUMIFS('March'!F:F,'March'!D:D,"Credit Card Payment",'March'!I:I,B9)</f>
        <v/>
      </c>
      <c r="G9" s="9">
        <f>D9+E9-F9</f>
        <v/>
      </c>
      <c r="H9" s="9">
        <f>IF(C9&gt;0,C9-G9,"")</f>
        <v/>
      </c>
    </row>
  </sheetData>
  <mergeCells count="2">
    <mergeCell ref="A1:H1"/>
    <mergeCell ref="A3:H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6" customWidth="1" min="4" max="4"/>
    <col width="16" customWidth="1" min="5" max="5"/>
    <col width="18" customWidth="1" min="6" max="6"/>
  </cols>
  <sheetData>
    <row r="1" ht="34" customHeight="1">
      <c r="A1" s="6" t="inlineStr">
        <is>
          <t>🏦  SAVINGS ACCOUNTS  —  Auto-updated from monthly expense sheets</t>
        </is>
      </c>
    </row>
    <row r="3">
      <c r="A3" s="3" t="inlineStr">
        <is>
          <t>#</t>
        </is>
      </c>
      <c r="B3" s="3" t="inlineStr">
        <is>
          <t>Account Name</t>
        </is>
      </c>
      <c r="C3" s="3" t="inlineStr">
        <is>
          <t>Opening Balance (₹)</t>
        </is>
      </c>
      <c r="D3" s="3" t="inlineStr">
        <is>
          <t>Total Added (₹)</t>
        </is>
      </c>
      <c r="E3" s="3" t="inlineStr">
        <is>
          <t>Total Withdrawn (₹)</t>
        </is>
      </c>
      <c r="F3" s="3" t="inlineStr">
        <is>
          <t>Current Balance (₹)</t>
        </is>
      </c>
    </row>
    <row r="4">
      <c r="A4" s="20" t="n">
        <v>1</v>
      </c>
      <c r="B4" s="21">
        <f>Setup!A13</f>
        <v/>
      </c>
      <c r="C4" s="8">
        <f>Setup!B13</f>
        <v/>
      </c>
      <c r="D4" s="9">
        <f>SUMIFS('April'!F:F,'April'!D:D,"Added to Savings",'April'!I:I,B4)+SUMIFS('May'!F:F,'May'!D:D,"Added to Savings",'May'!I:I,B4)+SUMIFS('June'!F:F,'June'!D:D,"Added to Savings",'June'!I:I,B4)+SUMIFS('July'!F:F,'July'!D:D,"Added to Savings",'July'!I:I,B4)+SUMIFS('August'!F:F,'August'!D:D,"Added to Savings",'August'!I:I,B4)+SUMIFS('September'!F:F,'September'!D:D,"Added to Savings",'September'!I:I,B4)+SUMIFS('October'!F:F,'October'!D:D,"Added to Savings",'October'!I:I,B4)+SUMIFS('November'!F:F,'November'!D:D,"Added to Savings",'November'!I:I,B4)+SUMIFS('December'!F:F,'December'!D:D,"Added to Savings",'December'!I:I,B4)+SUMIFS('January'!F:F,'January'!D:D,"Added to Savings",'January'!I:I,B4)+SUMIFS('February'!F:F,'February'!D:D,"Added to Savings",'February'!I:I,B4)+SUMIFS('March'!F:F,'March'!D:D,"Added to Savings",'March'!I:I,B4)</f>
        <v/>
      </c>
      <c r="E4" s="9">
        <f>SUMIFS('April'!F:F,'April'!G:G,B4)+SUMIFS('May'!F:F,'May'!G:G,B4)+SUMIFS('June'!F:F,'June'!G:G,B4)+SUMIFS('July'!F:F,'July'!G:G,B4)+SUMIFS('August'!F:F,'August'!G:G,B4)+SUMIFS('September'!F:F,'September'!G:G,B4)+SUMIFS('October'!F:F,'October'!G:G,B4)+SUMIFS('November'!F:F,'November'!G:G,B4)+SUMIFS('December'!F:F,'December'!G:G,B4)+SUMIFS('January'!F:F,'January'!G:G,B4)+SUMIFS('February'!F:F,'February'!G:G,B4)+SUMIFS('March'!F:F,'March'!G:G,B4)</f>
        <v/>
      </c>
      <c r="F4" s="9">
        <f>C4+D4-E4</f>
        <v/>
      </c>
    </row>
    <row r="5">
      <c r="A5" s="20" t="n">
        <v>2</v>
      </c>
      <c r="B5" s="21">
        <f>Setup!A14</f>
        <v/>
      </c>
      <c r="C5" s="8">
        <f>Setup!B14</f>
        <v/>
      </c>
      <c r="D5" s="9">
        <f>SUMIFS('April'!F:F,'April'!D:D,"Added to Savings",'April'!I:I,B5)+SUMIFS('May'!F:F,'May'!D:D,"Added to Savings",'May'!I:I,B5)+SUMIFS('June'!F:F,'June'!D:D,"Added to Savings",'June'!I:I,B5)+SUMIFS('July'!F:F,'July'!D:D,"Added to Savings",'July'!I:I,B5)+SUMIFS('August'!F:F,'August'!D:D,"Added to Savings",'August'!I:I,B5)+SUMIFS('September'!F:F,'September'!D:D,"Added to Savings",'September'!I:I,B5)+SUMIFS('October'!F:F,'October'!D:D,"Added to Savings",'October'!I:I,B5)+SUMIFS('November'!F:F,'November'!D:D,"Added to Savings",'November'!I:I,B5)+SUMIFS('December'!F:F,'December'!D:D,"Added to Savings",'December'!I:I,B5)+SUMIFS('January'!F:F,'January'!D:D,"Added to Savings",'January'!I:I,B5)+SUMIFS('February'!F:F,'February'!D:D,"Added to Savings",'February'!I:I,B5)+SUMIFS('March'!F:F,'March'!D:D,"Added to Savings",'March'!I:I,B5)</f>
        <v/>
      </c>
      <c r="E5" s="9">
        <f>SUMIFS('April'!F:F,'April'!G:G,B5)+SUMIFS('May'!F:F,'May'!G:G,B5)+SUMIFS('June'!F:F,'June'!G:G,B5)+SUMIFS('July'!F:F,'July'!G:G,B5)+SUMIFS('August'!F:F,'August'!G:G,B5)+SUMIFS('September'!F:F,'September'!G:G,B5)+SUMIFS('October'!F:F,'October'!G:G,B5)+SUMIFS('November'!F:F,'November'!G:G,B5)+SUMIFS('December'!F:F,'December'!G:G,B5)+SUMIFS('January'!F:F,'January'!G:G,B5)+SUMIFS('February'!F:F,'February'!G:G,B5)+SUMIFS('March'!F:F,'March'!G:G,B5)</f>
        <v/>
      </c>
      <c r="F5" s="9">
        <f>C5+D5-E5</f>
        <v/>
      </c>
    </row>
    <row r="6">
      <c r="A6" s="20" t="n">
        <v>3</v>
      </c>
      <c r="B6" s="21">
        <f>Setup!A15</f>
        <v/>
      </c>
      <c r="C6" s="8">
        <f>Setup!B15</f>
        <v/>
      </c>
      <c r="D6" s="9">
        <f>SUMIFS('April'!F:F,'April'!D:D,"Added to Savings",'April'!I:I,B6)+SUMIFS('May'!F:F,'May'!D:D,"Added to Savings",'May'!I:I,B6)+SUMIFS('June'!F:F,'June'!D:D,"Added to Savings",'June'!I:I,B6)+SUMIFS('July'!F:F,'July'!D:D,"Added to Savings",'July'!I:I,B6)+SUMIFS('August'!F:F,'August'!D:D,"Added to Savings",'August'!I:I,B6)+SUMIFS('September'!F:F,'September'!D:D,"Added to Savings",'September'!I:I,B6)+SUMIFS('October'!F:F,'October'!D:D,"Added to Savings",'October'!I:I,B6)+SUMIFS('November'!F:F,'November'!D:D,"Added to Savings",'November'!I:I,B6)+SUMIFS('December'!F:F,'December'!D:D,"Added to Savings",'December'!I:I,B6)+SUMIFS('January'!F:F,'January'!D:D,"Added to Savings",'January'!I:I,B6)+SUMIFS('February'!F:F,'February'!D:D,"Added to Savings",'February'!I:I,B6)+SUMIFS('March'!F:F,'March'!D:D,"Added to Savings",'March'!I:I,B6)</f>
        <v/>
      </c>
      <c r="E6" s="9">
        <f>SUMIFS('April'!F:F,'April'!G:G,B6)+SUMIFS('May'!F:F,'May'!G:G,B6)+SUMIFS('June'!F:F,'June'!G:G,B6)+SUMIFS('July'!F:F,'July'!G:G,B6)+SUMIFS('August'!F:F,'August'!G:G,B6)+SUMIFS('September'!F:F,'September'!G:G,B6)+SUMIFS('October'!F:F,'October'!G:G,B6)+SUMIFS('November'!F:F,'November'!G:G,B6)+SUMIFS('December'!F:F,'December'!G:G,B6)+SUMIFS('January'!F:F,'January'!G:G,B6)+SUMIFS('February'!F:F,'February'!G:G,B6)+SUMIFS('March'!F:F,'March'!G:G,B6)</f>
        <v/>
      </c>
      <c r="F6" s="9">
        <f>C6+D6-E6</f>
        <v/>
      </c>
    </row>
    <row r="7">
      <c r="A7" s="20" t="n">
        <v>4</v>
      </c>
      <c r="B7" s="21">
        <f>Setup!A16</f>
        <v/>
      </c>
      <c r="C7" s="8">
        <f>Setup!B16</f>
        <v/>
      </c>
      <c r="D7" s="9">
        <f>SUMIFS('April'!F:F,'April'!D:D,"Added to Savings",'April'!I:I,B7)+SUMIFS('May'!F:F,'May'!D:D,"Added to Savings",'May'!I:I,B7)+SUMIFS('June'!F:F,'June'!D:D,"Added to Savings",'June'!I:I,B7)+SUMIFS('July'!F:F,'July'!D:D,"Added to Savings",'July'!I:I,B7)+SUMIFS('August'!F:F,'August'!D:D,"Added to Savings",'August'!I:I,B7)+SUMIFS('September'!F:F,'September'!D:D,"Added to Savings",'September'!I:I,B7)+SUMIFS('October'!F:F,'October'!D:D,"Added to Savings",'October'!I:I,B7)+SUMIFS('November'!F:F,'November'!D:D,"Added to Savings",'November'!I:I,B7)+SUMIFS('December'!F:F,'December'!D:D,"Added to Savings",'December'!I:I,B7)+SUMIFS('January'!F:F,'January'!D:D,"Added to Savings",'January'!I:I,B7)+SUMIFS('February'!F:F,'February'!D:D,"Added to Savings",'February'!I:I,B7)+SUMIFS('March'!F:F,'March'!D:D,"Added to Savings",'March'!I:I,B7)</f>
        <v/>
      </c>
      <c r="E7" s="9">
        <f>SUMIFS('April'!F:F,'April'!G:G,B7)+SUMIFS('May'!F:F,'May'!G:G,B7)+SUMIFS('June'!F:F,'June'!G:G,B7)+SUMIFS('July'!F:F,'July'!G:G,B7)+SUMIFS('August'!F:F,'August'!G:G,B7)+SUMIFS('September'!F:F,'September'!G:G,B7)+SUMIFS('October'!F:F,'October'!G:G,B7)+SUMIFS('November'!F:F,'November'!G:G,B7)+SUMIFS('December'!F:F,'December'!G:G,B7)+SUMIFS('January'!F:F,'January'!G:G,B7)+SUMIFS('February'!F:F,'February'!G:G,B7)+SUMIFS('March'!F:F,'March'!G:G,B7)</f>
        <v/>
      </c>
      <c r="F7" s="9">
        <f>C7+D7-E7</f>
        <v/>
      </c>
    </row>
    <row r="8">
      <c r="A8" s="20" t="n">
        <v>5</v>
      </c>
      <c r="B8" s="21">
        <f>Setup!A17</f>
        <v/>
      </c>
      <c r="C8" s="8">
        <f>Setup!B17</f>
        <v/>
      </c>
      <c r="D8" s="9">
        <f>SUMIFS('April'!F:F,'April'!D:D,"Added to Savings",'April'!I:I,B8)+SUMIFS('May'!F:F,'May'!D:D,"Added to Savings",'May'!I:I,B8)+SUMIFS('June'!F:F,'June'!D:D,"Added to Savings",'June'!I:I,B8)+SUMIFS('July'!F:F,'July'!D:D,"Added to Savings",'July'!I:I,B8)+SUMIFS('August'!F:F,'August'!D:D,"Added to Savings",'August'!I:I,B8)+SUMIFS('September'!F:F,'September'!D:D,"Added to Savings",'September'!I:I,B8)+SUMIFS('October'!F:F,'October'!D:D,"Added to Savings",'October'!I:I,B8)+SUMIFS('November'!F:F,'November'!D:D,"Added to Savings",'November'!I:I,B8)+SUMIFS('December'!F:F,'December'!D:D,"Added to Savings",'December'!I:I,B8)+SUMIFS('January'!F:F,'January'!D:D,"Added to Savings",'January'!I:I,B8)+SUMIFS('February'!F:F,'February'!D:D,"Added to Savings",'February'!I:I,B8)+SUMIFS('March'!F:F,'March'!D:D,"Added to Savings",'March'!I:I,B8)</f>
        <v/>
      </c>
      <c r="E8" s="9">
        <f>SUMIFS('April'!F:F,'April'!G:G,B8)+SUMIFS('May'!F:F,'May'!G:G,B8)+SUMIFS('June'!F:F,'June'!G:G,B8)+SUMIFS('July'!F:F,'July'!G:G,B8)+SUMIFS('August'!F:F,'August'!G:G,B8)+SUMIFS('September'!F:F,'September'!G:G,B8)+SUMIFS('October'!F:F,'October'!G:G,B8)+SUMIFS('November'!F:F,'November'!G:G,B8)+SUMIFS('December'!F:F,'December'!G:G,B8)+SUMIFS('January'!F:F,'January'!G:G,B8)+SUMIFS('February'!F:F,'February'!G:G,B8)+SUMIFS('March'!F:F,'March'!G:G,B8)</f>
        <v/>
      </c>
      <c r="F8" s="9">
        <f>C8+D8-E8</f>
        <v/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6" customWidth="1" min="12" max="12"/>
    <col width="14" customWidth="1" min="13" max="13"/>
  </cols>
  <sheetData>
    <row r="1" ht="36" customHeight="1">
      <c r="A1" s="1" t="inlineStr">
        <is>
          <t>📊  ANNUAL FINANCE DASHBOARD  —  Auto-updated from all 12 monthly sheets</t>
        </is>
      </c>
    </row>
    <row r="3">
      <c r="A3" s="2" t="inlineStr">
        <is>
          <t>📋  YEARLY SUMMARY</t>
        </is>
      </c>
    </row>
    <row r="4" ht="22" customHeight="1">
      <c r="A4" s="17" t="inlineStr">
        <is>
          <t>💵  Total Income</t>
        </is>
      </c>
      <c r="B4" s="9">
        <f>Income!E16</f>
        <v/>
      </c>
    </row>
    <row r="5" ht="22" customHeight="1">
      <c r="A5" s="17" t="inlineStr">
        <is>
          <t>🧾  Total Expenses</t>
        </is>
      </c>
      <c r="B5" s="9">
        <f>'April'!F65+'May'!F65+'June'!F65+'July'!F65+'August'!F65+'September'!F65+'October'!F65+'November'!F65+'December'!F65+'January'!F65+'February'!F65+'March'!F65</f>
        <v/>
      </c>
    </row>
    <row r="6" ht="22" customHeight="1">
      <c r="A6" s="17" t="inlineStr">
        <is>
          <t>🏠  Fixed Bills</t>
        </is>
      </c>
      <c r="B6" s="9">
        <f>SUMIF('April'!D5:D64,"Fixed Bills",'April'!F5:F64)+SUMIF('May'!D5:D64,"Fixed Bills",'May'!F5:F64)+SUMIF('June'!D5:D64,"Fixed Bills",'June'!F5:F64)+SUMIF('July'!D5:D64,"Fixed Bills",'July'!F5:F64)+SUMIF('August'!D5:D64,"Fixed Bills",'August'!F5:F64)+SUMIF('September'!D5:D64,"Fixed Bills",'September'!F5:F64)+SUMIF('October'!D5:D64,"Fixed Bills",'October'!F5:F64)+SUMIF('November'!D5:D64,"Fixed Bills",'November'!F5:F64)+SUMIF('December'!D5:D64,"Fixed Bills",'December'!F5:F64)+SUMIF('January'!D5:D64,"Fixed Bills",'January'!F5:F64)+SUMIF('February'!D5:D64,"Fixed Bills",'February'!F5:F64)+SUMIF('March'!D5:D64,"Fixed Bills",'March'!F5:F64)</f>
        <v/>
      </c>
    </row>
    <row r="7" ht="22" customHeight="1">
      <c r="A7" s="17" t="inlineStr">
        <is>
          <t>💰  Added to Savings</t>
        </is>
      </c>
      <c r="B7" s="9">
        <f>SUMIF('April'!D5:D64,"Added to Savings",'April'!F5:F64)+SUMIF('May'!D5:D64,"Added to Savings",'May'!F5:F64)+SUMIF('June'!D5:D64,"Added to Savings",'June'!F5:F64)+SUMIF('July'!D5:D64,"Added to Savings",'July'!F5:F64)+SUMIF('August'!D5:D64,"Added to Savings",'August'!F5:F64)+SUMIF('September'!D5:D64,"Added to Savings",'September'!F5:F64)+SUMIF('October'!D5:D64,"Added to Savings",'October'!F5:F64)+SUMIF('November'!D5:D64,"Added to Savings",'November'!F5:F64)+SUMIF('December'!D5:D64,"Added to Savings",'December'!F5:F64)+SUMIF('January'!D5:D64,"Added to Savings",'January'!F5:F64)+SUMIF('February'!D5:D64,"Added to Savings",'February'!F5:F64)+SUMIF('March'!D5:D64,"Added to Savings",'March'!F5:F64)</f>
        <v/>
      </c>
    </row>
    <row r="8" ht="22" customHeight="1">
      <c r="A8" s="17" t="inlineStr">
        <is>
          <t>📈  Investments</t>
        </is>
      </c>
      <c r="B8" s="9">
        <f>SUMIF('April'!D5:D64,"Investment",'April'!F5:F64)+SUMIF('May'!D5:D64,"Investment",'May'!F5:F64)+SUMIF('June'!D5:D64,"Investment",'June'!F5:F64)+SUMIF('July'!D5:D64,"Investment",'July'!F5:F64)+SUMIF('August'!D5:D64,"Investment",'August'!F5:F64)+SUMIF('September'!D5:D64,"Investment",'September'!F5:F64)+SUMIF('October'!D5:D64,"Investment",'October'!F5:F64)+SUMIF('November'!D5:D64,"Investment",'November'!F5:F64)+SUMIF('December'!D5:D64,"Investment",'December'!F5:F64)+SUMIF('January'!D5:D64,"Investment",'January'!F5:F64)+SUMIF('February'!D5:D64,"Investment",'February'!F5:F64)+SUMIF('March'!D5:D64,"Investment",'March'!F5:F64)</f>
        <v/>
      </c>
    </row>
    <row r="9" ht="22" customHeight="1">
      <c r="A9" s="17" t="inlineStr">
        <is>
          <t>💳  CC Owed</t>
        </is>
      </c>
      <c r="B9" s="9">
        <f>SUM('Credit Cards'!F5:G9)</f>
        <v/>
      </c>
    </row>
    <row r="10" ht="22" customHeight="1">
      <c r="A10" s="17" t="inlineStr">
        <is>
          <t>✅  Net Balance</t>
        </is>
      </c>
      <c r="B10" s="9">
        <f>B4-B5</f>
        <v/>
      </c>
    </row>
    <row r="12">
      <c r="A12" s="2" t="inlineStr">
        <is>
          <t>📅  MONTH-WISE SUMMARY (Apr → Mar)</t>
        </is>
      </c>
    </row>
    <row r="13">
      <c r="A13" s="3" t="inlineStr">
        <is>
          <t>Month</t>
        </is>
      </c>
      <c r="B13" s="3" t="inlineStr">
        <is>
          <t>Income (₹)</t>
        </is>
      </c>
      <c r="C13" s="3" t="inlineStr">
        <is>
          <t>Expenses (₹)</t>
        </is>
      </c>
      <c r="D13" s="3" t="inlineStr">
        <is>
          <t>Fixed Bills (₹)</t>
        </is>
      </c>
      <c r="E13" s="3" t="inlineStr">
        <is>
          <t>Savings (₹)</t>
        </is>
      </c>
      <c r="F13" s="3" t="inlineStr">
        <is>
          <t>Investment (₹)</t>
        </is>
      </c>
      <c r="G13" s="3" t="inlineStr">
        <is>
          <t>CC Paid (₹)</t>
        </is>
      </c>
      <c r="H13" s="3" t="inlineStr">
        <is>
          <t>Net (₹)</t>
        </is>
      </c>
      <c r="I13" s="3" t="inlineStr">
        <is>
          <t>Discretionary (₹)</t>
        </is>
      </c>
      <c r="J13" s="3" t="inlineStr">
        <is>
          <t>Mean Daily (₹)</t>
        </is>
      </c>
      <c r="K13" s="3" t="inlineStr">
        <is>
          <t>Median Txn (₹)</t>
        </is>
      </c>
      <c r="L13" s="3" t="inlineStr">
        <is>
          <t>Max Txn (₹)</t>
        </is>
      </c>
      <c r="M13" s="3" t="inlineStr">
        <is>
          <t>Savings Rate</t>
        </is>
      </c>
    </row>
    <row r="14">
      <c r="A14" s="7" t="inlineStr">
        <is>
          <t>April</t>
        </is>
      </c>
      <c r="B14" s="8">
        <f>Income!E4</f>
        <v/>
      </c>
      <c r="C14" s="8">
        <f>'April'!F65</f>
        <v/>
      </c>
      <c r="D14" s="9">
        <f>SUMIF('April'!D5:D64,"Fixed Bills",'April'!F5:F64)</f>
        <v/>
      </c>
      <c r="E14" s="9">
        <f>SUMIF('April'!D5:D64,"Added to Savings",'April'!F5:F64)</f>
        <v/>
      </c>
      <c r="F14" s="9">
        <f>SUMIF('April'!D5:D64,"Investment",'April'!F5:F64)</f>
        <v/>
      </c>
      <c r="G14" s="9">
        <f>SUMIF('April'!D5:D64,"Credit Card Payment",'April'!F5:F64)</f>
        <v/>
      </c>
      <c r="H14" s="9">
        <f>B14-C14</f>
        <v/>
      </c>
      <c r="I14" s="9">
        <f>C14-D14-E14-F14</f>
        <v/>
      </c>
      <c r="J14" s="9">
        <f>I14/30</f>
        <v/>
      </c>
      <c r="K14" s="9">
        <f>MEDIAN(IF(('April'!D5:D64&lt;&gt;"Fixed Bills")*('April'!D5:D64&lt;&gt;"Investment")*('April'!D5:D64&lt;&gt;"Added to Savings")*('April'!F5:F64&gt;0),'April'!F5:F64))</f>
        <v/>
      </c>
      <c r="L14" s="9">
        <f>MAX(IF(('April'!D5:D64&lt;&gt;"Fixed Bills")*('April'!D5:D64&lt;&gt;"Investment")*('April'!D5:D64&lt;&gt;"Added to Savings")*('April'!F5:F64&gt;0),'April'!F5:F64))</f>
        <v/>
      </c>
      <c r="M14" s="22">
        <f>IF(B14&gt;0,(B14-C14)/B14,0)</f>
        <v/>
      </c>
    </row>
    <row r="15">
      <c r="A15" s="7" t="inlineStr">
        <is>
          <t>May</t>
        </is>
      </c>
      <c r="B15" s="8">
        <f>Income!E5</f>
        <v/>
      </c>
      <c r="C15" s="8">
        <f>'May'!F65</f>
        <v/>
      </c>
      <c r="D15" s="9">
        <f>SUMIF('May'!D5:D64,"Fixed Bills",'May'!F5:F64)</f>
        <v/>
      </c>
      <c r="E15" s="9">
        <f>SUMIF('May'!D5:D64,"Added to Savings",'May'!F5:F64)</f>
        <v/>
      </c>
      <c r="F15" s="9">
        <f>SUMIF('May'!D5:D64,"Investment",'May'!F5:F64)</f>
        <v/>
      </c>
      <c r="G15" s="9">
        <f>SUMIF('May'!D5:D64,"Credit Card Payment",'May'!F5:F64)</f>
        <v/>
      </c>
      <c r="H15" s="9">
        <f>B15-C15</f>
        <v/>
      </c>
      <c r="I15" s="9">
        <f>C15-D15-E15-F15</f>
        <v/>
      </c>
      <c r="J15" s="9">
        <f>I15/31</f>
        <v/>
      </c>
      <c r="K15" s="9">
        <f>MEDIAN(IF(('May'!D5:D64&lt;&gt;"Fixed Bills")*('May'!D5:D64&lt;&gt;"Investment")*('May'!D5:D64&lt;&gt;"Added to Savings")*('May'!F5:F64&gt;0),'May'!F5:F64))</f>
        <v/>
      </c>
      <c r="L15" s="9">
        <f>MAX(IF(('May'!D5:D64&lt;&gt;"Fixed Bills")*('May'!D5:D64&lt;&gt;"Investment")*('May'!D5:D64&lt;&gt;"Added to Savings")*('May'!F5:F64&gt;0),'May'!F5:F64))</f>
        <v/>
      </c>
      <c r="M15" s="22">
        <f>IF(B15&gt;0,(B15-C15)/B15,0)</f>
        <v/>
      </c>
    </row>
    <row r="16">
      <c r="A16" s="7" t="inlineStr">
        <is>
          <t>June</t>
        </is>
      </c>
      <c r="B16" s="8">
        <f>Income!E6</f>
        <v/>
      </c>
      <c r="C16" s="8">
        <f>'June'!F65</f>
        <v/>
      </c>
      <c r="D16" s="9">
        <f>SUMIF('June'!D5:D64,"Fixed Bills",'June'!F5:F64)</f>
        <v/>
      </c>
      <c r="E16" s="9">
        <f>SUMIF('June'!D5:D64,"Added to Savings",'June'!F5:F64)</f>
        <v/>
      </c>
      <c r="F16" s="9">
        <f>SUMIF('June'!D5:D64,"Investment",'June'!F5:F64)</f>
        <v/>
      </c>
      <c r="G16" s="9">
        <f>SUMIF('June'!D5:D64,"Credit Card Payment",'June'!F5:F64)</f>
        <v/>
      </c>
      <c r="H16" s="9">
        <f>B16-C16</f>
        <v/>
      </c>
      <c r="I16" s="9">
        <f>C16-D16-E16-F16</f>
        <v/>
      </c>
      <c r="J16" s="9">
        <f>I16/30</f>
        <v/>
      </c>
      <c r="K16" s="9">
        <f>MEDIAN(IF(('June'!D5:D64&lt;&gt;"Fixed Bills")*('June'!D5:D64&lt;&gt;"Investment")*('June'!D5:D64&lt;&gt;"Added to Savings")*('June'!F5:F64&gt;0),'June'!F5:F64))</f>
        <v/>
      </c>
      <c r="L16" s="9">
        <f>MAX(IF(('June'!D5:D64&lt;&gt;"Fixed Bills")*('June'!D5:D64&lt;&gt;"Investment")*('June'!D5:D64&lt;&gt;"Added to Savings")*('June'!F5:F64&gt;0),'June'!F5:F64))</f>
        <v/>
      </c>
      <c r="M16" s="22">
        <f>IF(B16&gt;0,(B16-C16)/B16,0)</f>
        <v/>
      </c>
    </row>
    <row r="17">
      <c r="A17" s="7" t="inlineStr">
        <is>
          <t>July</t>
        </is>
      </c>
      <c r="B17" s="8">
        <f>Income!E7</f>
        <v/>
      </c>
      <c r="C17" s="8">
        <f>'July'!F65</f>
        <v/>
      </c>
      <c r="D17" s="9">
        <f>SUMIF('July'!D5:D64,"Fixed Bills",'July'!F5:F64)</f>
        <v/>
      </c>
      <c r="E17" s="9">
        <f>SUMIF('July'!D5:D64,"Added to Savings",'July'!F5:F64)</f>
        <v/>
      </c>
      <c r="F17" s="9">
        <f>SUMIF('July'!D5:D64,"Investment",'July'!F5:F64)</f>
        <v/>
      </c>
      <c r="G17" s="9">
        <f>SUMIF('July'!D5:D64,"Credit Card Payment",'July'!F5:F64)</f>
        <v/>
      </c>
      <c r="H17" s="9">
        <f>B17-C17</f>
        <v/>
      </c>
      <c r="I17" s="9">
        <f>C17-D17-E17-F17</f>
        <v/>
      </c>
      <c r="J17" s="9">
        <f>I17/31</f>
        <v/>
      </c>
      <c r="K17" s="9">
        <f>MEDIAN(IF(('July'!D5:D64&lt;&gt;"Fixed Bills")*('July'!D5:D64&lt;&gt;"Investment")*('July'!D5:D64&lt;&gt;"Added to Savings")*('July'!F5:F64&gt;0),'July'!F5:F64))</f>
        <v/>
      </c>
      <c r="L17" s="9">
        <f>MAX(IF(('July'!D5:D64&lt;&gt;"Fixed Bills")*('July'!D5:D64&lt;&gt;"Investment")*('July'!D5:D64&lt;&gt;"Added to Savings")*('July'!F5:F64&gt;0),'July'!F5:F64))</f>
        <v/>
      </c>
      <c r="M17" s="22">
        <f>IF(B17&gt;0,(B17-C17)/B17,0)</f>
        <v/>
      </c>
    </row>
    <row r="18">
      <c r="A18" s="7" t="inlineStr">
        <is>
          <t>August</t>
        </is>
      </c>
      <c r="B18" s="8">
        <f>Income!E8</f>
        <v/>
      </c>
      <c r="C18" s="8">
        <f>'August'!F65</f>
        <v/>
      </c>
      <c r="D18" s="9">
        <f>SUMIF('August'!D5:D64,"Fixed Bills",'August'!F5:F64)</f>
        <v/>
      </c>
      <c r="E18" s="9">
        <f>SUMIF('August'!D5:D64,"Added to Savings",'August'!F5:F64)</f>
        <v/>
      </c>
      <c r="F18" s="9">
        <f>SUMIF('August'!D5:D64,"Investment",'August'!F5:F64)</f>
        <v/>
      </c>
      <c r="G18" s="9">
        <f>SUMIF('August'!D5:D64,"Credit Card Payment",'August'!F5:F64)</f>
        <v/>
      </c>
      <c r="H18" s="9">
        <f>B18-C18</f>
        <v/>
      </c>
      <c r="I18" s="9">
        <f>C18-D18-E18-F18</f>
        <v/>
      </c>
      <c r="J18" s="9">
        <f>I18/31</f>
        <v/>
      </c>
      <c r="K18" s="9">
        <f>MEDIAN(IF(('August'!D5:D64&lt;&gt;"Fixed Bills")*('August'!D5:D64&lt;&gt;"Investment")*('August'!D5:D64&lt;&gt;"Added to Savings")*('August'!F5:F64&gt;0),'August'!F5:F64))</f>
        <v/>
      </c>
      <c r="L18" s="9">
        <f>MAX(IF(('August'!D5:D64&lt;&gt;"Fixed Bills")*('August'!D5:D64&lt;&gt;"Investment")*('August'!D5:D64&lt;&gt;"Added to Savings")*('August'!F5:F64&gt;0),'August'!F5:F64))</f>
        <v/>
      </c>
      <c r="M18" s="22">
        <f>IF(B18&gt;0,(B18-C18)/B18,0)</f>
        <v/>
      </c>
    </row>
    <row r="19">
      <c r="A19" s="7" t="inlineStr">
        <is>
          <t>September</t>
        </is>
      </c>
      <c r="B19" s="8">
        <f>Income!E9</f>
        <v/>
      </c>
      <c r="C19" s="8">
        <f>'September'!F65</f>
        <v/>
      </c>
      <c r="D19" s="9">
        <f>SUMIF('September'!D5:D64,"Fixed Bills",'September'!F5:F64)</f>
        <v/>
      </c>
      <c r="E19" s="9">
        <f>SUMIF('September'!D5:D64,"Added to Savings",'September'!F5:F64)</f>
        <v/>
      </c>
      <c r="F19" s="9">
        <f>SUMIF('September'!D5:D64,"Investment",'September'!F5:F64)</f>
        <v/>
      </c>
      <c r="G19" s="9">
        <f>SUMIF('September'!D5:D64,"Credit Card Payment",'September'!F5:F64)</f>
        <v/>
      </c>
      <c r="H19" s="9">
        <f>B19-C19</f>
        <v/>
      </c>
      <c r="I19" s="9">
        <f>C19-D19-E19-F19</f>
        <v/>
      </c>
      <c r="J19" s="9">
        <f>I19/30</f>
        <v/>
      </c>
      <c r="K19" s="9">
        <f>MEDIAN(IF(('September'!D5:D64&lt;&gt;"Fixed Bills")*('September'!D5:D64&lt;&gt;"Investment")*('September'!D5:D64&lt;&gt;"Added to Savings")*('September'!F5:F64&gt;0),'September'!F5:F64))</f>
        <v/>
      </c>
      <c r="L19" s="9">
        <f>MAX(IF(('September'!D5:D64&lt;&gt;"Fixed Bills")*('September'!D5:D64&lt;&gt;"Investment")*('September'!D5:D64&lt;&gt;"Added to Savings")*('September'!F5:F64&gt;0),'September'!F5:F64))</f>
        <v/>
      </c>
      <c r="M19" s="22">
        <f>IF(B19&gt;0,(B19-C19)/B19,0)</f>
        <v/>
      </c>
    </row>
    <row r="20">
      <c r="A20" s="7" t="inlineStr">
        <is>
          <t>October</t>
        </is>
      </c>
      <c r="B20" s="8">
        <f>Income!E10</f>
        <v/>
      </c>
      <c r="C20" s="8">
        <f>'October'!F65</f>
        <v/>
      </c>
      <c r="D20" s="9">
        <f>SUMIF('October'!D5:D64,"Fixed Bills",'October'!F5:F64)</f>
        <v/>
      </c>
      <c r="E20" s="9">
        <f>SUMIF('October'!D5:D64,"Added to Savings",'October'!F5:F64)</f>
        <v/>
      </c>
      <c r="F20" s="9">
        <f>SUMIF('October'!D5:D64,"Investment",'October'!F5:F64)</f>
        <v/>
      </c>
      <c r="G20" s="9">
        <f>SUMIF('October'!D5:D64,"Credit Card Payment",'October'!F5:F64)</f>
        <v/>
      </c>
      <c r="H20" s="9">
        <f>B20-C20</f>
        <v/>
      </c>
      <c r="I20" s="9">
        <f>C20-D20-E20-F20</f>
        <v/>
      </c>
      <c r="J20" s="9">
        <f>I20/31</f>
        <v/>
      </c>
      <c r="K20" s="9">
        <f>MEDIAN(IF(('October'!D5:D64&lt;&gt;"Fixed Bills")*('October'!D5:D64&lt;&gt;"Investment")*('October'!D5:D64&lt;&gt;"Added to Savings")*('October'!F5:F64&gt;0),'October'!F5:F64))</f>
        <v/>
      </c>
      <c r="L20" s="9">
        <f>MAX(IF(('October'!D5:D64&lt;&gt;"Fixed Bills")*('October'!D5:D64&lt;&gt;"Investment")*('October'!D5:D64&lt;&gt;"Added to Savings")*('October'!F5:F64&gt;0),'October'!F5:F64))</f>
        <v/>
      </c>
      <c r="M20" s="22">
        <f>IF(B20&gt;0,(B20-C20)/B20,0)</f>
        <v/>
      </c>
    </row>
    <row r="21">
      <c r="A21" s="7" t="inlineStr">
        <is>
          <t>November</t>
        </is>
      </c>
      <c r="B21" s="8">
        <f>Income!E11</f>
        <v/>
      </c>
      <c r="C21" s="8">
        <f>'November'!F65</f>
        <v/>
      </c>
      <c r="D21" s="9">
        <f>SUMIF('November'!D5:D64,"Fixed Bills",'November'!F5:F64)</f>
        <v/>
      </c>
      <c r="E21" s="9">
        <f>SUMIF('November'!D5:D64,"Added to Savings",'November'!F5:F64)</f>
        <v/>
      </c>
      <c r="F21" s="9">
        <f>SUMIF('November'!D5:D64,"Investment",'November'!F5:F64)</f>
        <v/>
      </c>
      <c r="G21" s="9">
        <f>SUMIF('November'!D5:D64,"Credit Card Payment",'November'!F5:F64)</f>
        <v/>
      </c>
      <c r="H21" s="9">
        <f>B21-C21</f>
        <v/>
      </c>
      <c r="I21" s="9">
        <f>C21-D21-E21-F21</f>
        <v/>
      </c>
      <c r="J21" s="9">
        <f>I21/30</f>
        <v/>
      </c>
      <c r="K21" s="9">
        <f>MEDIAN(IF(('November'!D5:D64&lt;&gt;"Fixed Bills")*('November'!D5:D64&lt;&gt;"Investment")*('November'!D5:D64&lt;&gt;"Added to Savings")*('November'!F5:F64&gt;0),'November'!F5:F64))</f>
        <v/>
      </c>
      <c r="L21" s="9">
        <f>MAX(IF(('November'!D5:D64&lt;&gt;"Fixed Bills")*('November'!D5:D64&lt;&gt;"Investment")*('November'!D5:D64&lt;&gt;"Added to Savings")*('November'!F5:F64&gt;0),'November'!F5:F64))</f>
        <v/>
      </c>
      <c r="M21" s="22">
        <f>IF(B21&gt;0,(B21-C21)/B21,0)</f>
        <v/>
      </c>
    </row>
    <row r="22">
      <c r="A22" s="7" t="inlineStr">
        <is>
          <t>December</t>
        </is>
      </c>
      <c r="B22" s="8">
        <f>Income!E12</f>
        <v/>
      </c>
      <c r="C22" s="8">
        <f>'December'!F65</f>
        <v/>
      </c>
      <c r="D22" s="9">
        <f>SUMIF('December'!D5:D64,"Fixed Bills",'December'!F5:F64)</f>
        <v/>
      </c>
      <c r="E22" s="9">
        <f>SUMIF('December'!D5:D64,"Added to Savings",'December'!F5:F64)</f>
        <v/>
      </c>
      <c r="F22" s="9">
        <f>SUMIF('December'!D5:D64,"Investment",'December'!F5:F64)</f>
        <v/>
      </c>
      <c r="G22" s="9">
        <f>SUMIF('December'!D5:D64,"Credit Card Payment",'December'!F5:F64)</f>
        <v/>
      </c>
      <c r="H22" s="9">
        <f>B22-C22</f>
        <v/>
      </c>
      <c r="I22" s="9">
        <f>C22-D22-E22-F22</f>
        <v/>
      </c>
      <c r="J22" s="9">
        <f>I22/31</f>
        <v/>
      </c>
      <c r="K22" s="9">
        <f>MEDIAN(IF(('December'!D5:D64&lt;&gt;"Fixed Bills")*('December'!D5:D64&lt;&gt;"Investment")*('December'!D5:D64&lt;&gt;"Added to Savings")*('December'!F5:F64&gt;0),'December'!F5:F64))</f>
        <v/>
      </c>
      <c r="L22" s="9">
        <f>MAX(IF(('December'!D5:D64&lt;&gt;"Fixed Bills")*('December'!D5:D64&lt;&gt;"Investment")*('December'!D5:D64&lt;&gt;"Added to Savings")*('December'!F5:F64&gt;0),'December'!F5:F64))</f>
        <v/>
      </c>
      <c r="M22" s="22">
        <f>IF(B22&gt;0,(B22-C22)/B22,0)</f>
        <v/>
      </c>
    </row>
    <row r="23">
      <c r="A23" s="7" t="inlineStr">
        <is>
          <t>January</t>
        </is>
      </c>
      <c r="B23" s="8">
        <f>Income!E13</f>
        <v/>
      </c>
      <c r="C23" s="8">
        <f>'January'!F65</f>
        <v/>
      </c>
      <c r="D23" s="9">
        <f>SUMIF('January'!D5:D64,"Fixed Bills",'January'!F5:F64)</f>
        <v/>
      </c>
      <c r="E23" s="9">
        <f>SUMIF('January'!D5:D64,"Added to Savings",'January'!F5:F64)</f>
        <v/>
      </c>
      <c r="F23" s="9">
        <f>SUMIF('January'!D5:D64,"Investment",'January'!F5:F64)</f>
        <v/>
      </c>
      <c r="G23" s="9">
        <f>SUMIF('January'!D5:D64,"Credit Card Payment",'January'!F5:F64)</f>
        <v/>
      </c>
      <c r="H23" s="9">
        <f>B23-C23</f>
        <v/>
      </c>
      <c r="I23" s="9">
        <f>C23-D23-E23-F23</f>
        <v/>
      </c>
      <c r="J23" s="9">
        <f>I23/31</f>
        <v/>
      </c>
      <c r="K23" s="9">
        <f>MEDIAN(IF(('January'!D5:D64&lt;&gt;"Fixed Bills")*('January'!D5:D64&lt;&gt;"Investment")*('January'!D5:D64&lt;&gt;"Added to Savings")*('January'!F5:F64&gt;0),'January'!F5:F64))</f>
        <v/>
      </c>
      <c r="L23" s="9">
        <f>MAX(IF(('January'!D5:D64&lt;&gt;"Fixed Bills")*('January'!D5:D64&lt;&gt;"Investment")*('January'!D5:D64&lt;&gt;"Added to Savings")*('January'!F5:F64&gt;0),'January'!F5:F64))</f>
        <v/>
      </c>
      <c r="M23" s="22">
        <f>IF(B23&gt;0,(B23-C23)/B23,0)</f>
        <v/>
      </c>
    </row>
    <row r="24">
      <c r="A24" s="7" t="inlineStr">
        <is>
          <t>February</t>
        </is>
      </c>
      <c r="B24" s="8">
        <f>Income!E14</f>
        <v/>
      </c>
      <c r="C24" s="8">
        <f>'February'!F65</f>
        <v/>
      </c>
      <c r="D24" s="9">
        <f>SUMIF('February'!D5:D64,"Fixed Bills",'February'!F5:F64)</f>
        <v/>
      </c>
      <c r="E24" s="9">
        <f>SUMIF('February'!D5:D64,"Added to Savings",'February'!F5:F64)</f>
        <v/>
      </c>
      <c r="F24" s="9">
        <f>SUMIF('February'!D5:D64,"Investment",'February'!F5:F64)</f>
        <v/>
      </c>
      <c r="G24" s="9">
        <f>SUMIF('February'!D5:D64,"Credit Card Payment",'February'!F5:F64)</f>
        <v/>
      </c>
      <c r="H24" s="9">
        <f>B24-C24</f>
        <v/>
      </c>
      <c r="I24" s="9">
        <f>C24-D24-E24-F24</f>
        <v/>
      </c>
      <c r="J24" s="9">
        <f>I24/28</f>
        <v/>
      </c>
      <c r="K24" s="9">
        <f>MEDIAN(IF(('February'!D5:D64&lt;&gt;"Fixed Bills")*('February'!D5:D64&lt;&gt;"Investment")*('February'!D5:D64&lt;&gt;"Added to Savings")*('February'!F5:F64&gt;0),'February'!F5:F64))</f>
        <v/>
      </c>
      <c r="L24" s="9">
        <f>MAX(IF(('February'!D5:D64&lt;&gt;"Fixed Bills")*('February'!D5:D64&lt;&gt;"Investment")*('February'!D5:D64&lt;&gt;"Added to Savings")*('February'!F5:F64&gt;0),'February'!F5:F64))</f>
        <v/>
      </c>
      <c r="M24" s="22">
        <f>IF(B24&gt;0,(B24-C24)/B24,0)</f>
        <v/>
      </c>
    </row>
    <row r="25">
      <c r="A25" s="7" t="inlineStr">
        <is>
          <t>March</t>
        </is>
      </c>
      <c r="B25" s="8">
        <f>Income!E15</f>
        <v/>
      </c>
      <c r="C25" s="8">
        <f>'March'!F65</f>
        <v/>
      </c>
      <c r="D25" s="9">
        <f>SUMIF('March'!D5:D64,"Fixed Bills",'March'!F5:F64)</f>
        <v/>
      </c>
      <c r="E25" s="9">
        <f>SUMIF('March'!D5:D64,"Added to Savings",'March'!F5:F64)</f>
        <v/>
      </c>
      <c r="F25" s="9">
        <f>SUMIF('March'!D5:D64,"Investment",'March'!F5:F64)</f>
        <v/>
      </c>
      <c r="G25" s="9">
        <f>SUMIF('March'!D5:D64,"Credit Card Payment",'March'!F5:F64)</f>
        <v/>
      </c>
      <c r="H25" s="9">
        <f>B25-C25</f>
        <v/>
      </c>
      <c r="I25" s="9">
        <f>C25-D25-E25-F25</f>
        <v/>
      </c>
      <c r="J25" s="9">
        <f>I25/31</f>
        <v/>
      </c>
      <c r="K25" s="9">
        <f>MEDIAN(IF(('March'!D5:D64&lt;&gt;"Fixed Bills")*('March'!D5:D64&lt;&gt;"Investment")*('March'!D5:D64&lt;&gt;"Added to Savings")*('March'!F5:F64&gt;0),'March'!F5:F64))</f>
        <v/>
      </c>
      <c r="L25" s="9">
        <f>MAX(IF(('March'!D5:D64&lt;&gt;"Fixed Bills")*('March'!D5:D64&lt;&gt;"Investment")*('March'!D5:D64&lt;&gt;"Added to Savings")*('March'!F5:F64&gt;0),'March'!F5:F64))</f>
        <v/>
      </c>
      <c r="M25" s="22">
        <f>IF(B25&gt;0,(B25-C25)/B25,0)</f>
        <v/>
      </c>
    </row>
    <row r="26">
      <c r="A26" s="23" t="inlineStr">
        <is>
          <t>ANNUAL</t>
        </is>
      </c>
      <c r="B26" s="11">
        <f>SUM(B14:B25)</f>
        <v/>
      </c>
      <c r="C26" s="11">
        <f>SUM(C14:C25)</f>
        <v/>
      </c>
      <c r="D26" s="11">
        <f>SUM(D14:D25)</f>
        <v/>
      </c>
      <c r="E26" s="11">
        <f>SUM(E14:E25)</f>
        <v/>
      </c>
      <c r="F26" s="11">
        <f>SUM(F14:F25)</f>
        <v/>
      </c>
      <c r="G26" s="11">
        <f>SUM(G14:G25)</f>
        <v/>
      </c>
      <c r="H26" s="11">
        <f>SUM(H14:H25)</f>
        <v/>
      </c>
      <c r="I26" s="11">
        <f>SUM(I14:I25)</f>
        <v/>
      </c>
      <c r="J26" s="11">
        <f>AVERAGE(J14:J25)</f>
        <v/>
      </c>
      <c r="K26" s="11">
        <f>AVERAGE(K14:K25)</f>
        <v/>
      </c>
      <c r="L26" s="11">
        <f>MAX(L14:L25)</f>
        <v/>
      </c>
      <c r="M26" s="24">
        <f>AVERAGE(M14:M25)</f>
        <v/>
      </c>
    </row>
    <row r="28">
      <c r="A28" s="2" t="inlineStr">
        <is>
          <t>🗂️  EXPENSE BREAKDOWN BY CATEGORY</t>
        </is>
      </c>
    </row>
    <row r="29">
      <c r="A29" s="3" t="inlineStr">
        <is>
          <t>Category</t>
        </is>
      </c>
      <c r="B29" s="3" t="inlineStr">
        <is>
          <t>Spent (₹)</t>
        </is>
      </c>
      <c r="C29" s="3" t="inlineStr">
        <is>
          <t>% of Total</t>
        </is>
      </c>
    </row>
    <row r="30">
      <c r="A30" s="25" t="inlineStr">
        <is>
          <t>Fixed Bills</t>
        </is>
      </c>
      <c r="B30" s="9">
        <f>SUMIF('April'!D5:D64,A30,'April'!F5:F64)+SUMIF('May'!D5:D64,A30,'May'!F5:F64)+SUMIF('June'!D5:D64,A30,'June'!F5:F64)+SUMIF('July'!D5:D64,A30,'July'!F5:F64)+SUMIF('August'!D5:D64,A30,'August'!F5:F64)+SUMIF('September'!D5:D64,A30,'September'!F5:F64)+SUMIF('October'!D5:D64,A30,'October'!F5:F64)+SUMIF('November'!D5:D64,A30,'November'!F5:F64)+SUMIF('December'!D5:D64,A30,'December'!F5:F64)+SUMIF('January'!D5:D64,A30,'January'!F5:F64)+SUMIF('February'!D5:D64,A30,'February'!F5:F64)+SUMIF('March'!D5:D64,A30,'March'!F5:F64)</f>
        <v/>
      </c>
      <c r="C30" s="22">
        <f>IF(B5&gt;0,B30/B5,0)</f>
        <v/>
      </c>
    </row>
    <row r="31">
      <c r="A31" s="25" t="inlineStr">
        <is>
          <t>Food &amp; Dining</t>
        </is>
      </c>
      <c r="B31" s="9">
        <f>SUMIF('April'!D5:D64,A31,'April'!F5:F64)+SUMIF('May'!D5:D64,A31,'May'!F5:F64)+SUMIF('June'!D5:D64,A31,'June'!F5:F64)+SUMIF('July'!D5:D64,A31,'July'!F5:F64)+SUMIF('August'!D5:D64,A31,'August'!F5:F64)+SUMIF('September'!D5:D64,A31,'September'!F5:F64)+SUMIF('October'!D5:D64,A31,'October'!F5:F64)+SUMIF('November'!D5:D64,A31,'November'!F5:F64)+SUMIF('December'!D5:D64,A31,'December'!F5:F64)+SUMIF('January'!D5:D64,A31,'January'!F5:F64)+SUMIF('February'!D5:D64,A31,'February'!F5:F64)+SUMIF('March'!D5:D64,A31,'March'!F5:F64)</f>
        <v/>
      </c>
      <c r="C31" s="22">
        <f>IF(B5&gt;0,B31/B5,0)</f>
        <v/>
      </c>
    </row>
    <row r="32">
      <c r="A32" s="25" t="inlineStr">
        <is>
          <t>Transport &amp; Fuel</t>
        </is>
      </c>
      <c r="B32" s="9">
        <f>SUMIF('April'!D5:D64,A32,'April'!F5:F64)+SUMIF('May'!D5:D64,A32,'May'!F5:F64)+SUMIF('June'!D5:D64,A32,'June'!F5:F64)+SUMIF('July'!D5:D64,A32,'July'!F5:F64)+SUMIF('August'!D5:D64,A32,'August'!F5:F64)+SUMIF('September'!D5:D64,A32,'September'!F5:F64)+SUMIF('October'!D5:D64,A32,'October'!F5:F64)+SUMIF('November'!D5:D64,A32,'November'!F5:F64)+SUMIF('December'!D5:D64,A32,'December'!F5:F64)+SUMIF('January'!D5:D64,A32,'January'!F5:F64)+SUMIF('February'!D5:D64,A32,'February'!F5:F64)+SUMIF('March'!D5:D64,A32,'March'!F5:F64)</f>
        <v/>
      </c>
      <c r="C32" s="22">
        <f>IF(B5&gt;0,B32/B5,0)</f>
        <v/>
      </c>
    </row>
    <row r="33">
      <c r="A33" s="25" t="inlineStr">
        <is>
          <t>Shopping &amp; Clothing</t>
        </is>
      </c>
      <c r="B33" s="9">
        <f>SUMIF('April'!D5:D64,A33,'April'!F5:F64)+SUMIF('May'!D5:D64,A33,'May'!F5:F64)+SUMIF('June'!D5:D64,A33,'June'!F5:F64)+SUMIF('July'!D5:D64,A33,'July'!F5:F64)+SUMIF('August'!D5:D64,A33,'August'!F5:F64)+SUMIF('September'!D5:D64,A33,'September'!F5:F64)+SUMIF('October'!D5:D64,A33,'October'!F5:F64)+SUMIF('November'!D5:D64,A33,'November'!F5:F64)+SUMIF('December'!D5:D64,A33,'December'!F5:F64)+SUMIF('January'!D5:D64,A33,'January'!F5:F64)+SUMIF('February'!D5:D64,A33,'February'!F5:F64)+SUMIF('March'!D5:D64,A33,'March'!F5:F64)</f>
        <v/>
      </c>
      <c r="C33" s="22">
        <f>IF(B5&gt;0,B33/B5,0)</f>
        <v/>
      </c>
    </row>
    <row r="34">
      <c r="A34" s="25" t="inlineStr">
        <is>
          <t>Entertainment &amp; OTT</t>
        </is>
      </c>
      <c r="B34" s="9">
        <f>SUMIF('April'!D5:D64,A34,'April'!F5:F64)+SUMIF('May'!D5:D64,A34,'May'!F5:F64)+SUMIF('June'!D5:D64,A34,'June'!F5:F64)+SUMIF('July'!D5:D64,A34,'July'!F5:F64)+SUMIF('August'!D5:D64,A34,'August'!F5:F64)+SUMIF('September'!D5:D64,A34,'September'!F5:F64)+SUMIF('October'!D5:D64,A34,'October'!F5:F64)+SUMIF('November'!D5:D64,A34,'November'!F5:F64)+SUMIF('December'!D5:D64,A34,'December'!F5:F64)+SUMIF('January'!D5:D64,A34,'January'!F5:F64)+SUMIF('February'!D5:D64,A34,'February'!F5:F64)+SUMIF('March'!D5:D64,A34,'March'!F5:F64)</f>
        <v/>
      </c>
      <c r="C34" s="22">
        <f>IF(B5&gt;0,B34/B5,0)</f>
        <v/>
      </c>
    </row>
    <row r="35">
      <c r="A35" s="25" t="inlineStr">
        <is>
          <t>Groceries</t>
        </is>
      </c>
      <c r="B35" s="9">
        <f>SUMIF('April'!D5:D64,A35,'April'!F5:F64)+SUMIF('May'!D5:D64,A35,'May'!F5:F64)+SUMIF('June'!D5:D64,A35,'June'!F5:F64)+SUMIF('July'!D5:D64,A35,'July'!F5:F64)+SUMIF('August'!D5:D64,A35,'August'!F5:F64)+SUMIF('September'!D5:D64,A35,'September'!F5:F64)+SUMIF('October'!D5:D64,A35,'October'!F5:F64)+SUMIF('November'!D5:D64,A35,'November'!F5:F64)+SUMIF('December'!D5:D64,A35,'December'!F5:F64)+SUMIF('January'!D5:D64,A35,'January'!F5:F64)+SUMIF('February'!D5:D64,A35,'February'!F5:F64)+SUMIF('March'!D5:D64,A35,'March'!F5:F64)</f>
        <v/>
      </c>
      <c r="C35" s="22">
        <f>IF(B5&gt;0,B35/B5,0)</f>
        <v/>
      </c>
    </row>
    <row r="36">
      <c r="A36" s="25" t="inlineStr">
        <is>
          <t>Investment</t>
        </is>
      </c>
      <c r="B36" s="9">
        <f>SUMIF('April'!D5:D64,A36,'April'!F5:F64)+SUMIF('May'!D5:D64,A36,'May'!F5:F64)+SUMIF('June'!D5:D64,A36,'June'!F5:F64)+SUMIF('July'!D5:D64,A36,'July'!F5:F64)+SUMIF('August'!D5:D64,A36,'August'!F5:F64)+SUMIF('September'!D5:D64,A36,'September'!F5:F64)+SUMIF('October'!D5:D64,A36,'October'!F5:F64)+SUMIF('November'!D5:D64,A36,'November'!F5:F64)+SUMIF('December'!D5:D64,A36,'December'!F5:F64)+SUMIF('January'!D5:D64,A36,'January'!F5:F64)+SUMIF('February'!D5:D64,A36,'February'!F5:F64)+SUMIF('March'!D5:D64,A36,'March'!F5:F64)</f>
        <v/>
      </c>
      <c r="C36" s="22">
        <f>IF(B5&gt;0,B36/B5,0)</f>
        <v/>
      </c>
    </row>
    <row r="37">
      <c r="A37" s="25" t="inlineStr">
        <is>
          <t>Added to Savings</t>
        </is>
      </c>
      <c r="B37" s="9">
        <f>SUMIF('April'!D5:D64,A37,'April'!F5:F64)+SUMIF('May'!D5:D64,A37,'May'!F5:F64)+SUMIF('June'!D5:D64,A37,'June'!F5:F64)+SUMIF('July'!D5:D64,A37,'July'!F5:F64)+SUMIF('August'!D5:D64,A37,'August'!F5:F64)+SUMIF('September'!D5:D64,A37,'September'!F5:F64)+SUMIF('October'!D5:D64,A37,'October'!F5:F64)+SUMIF('November'!D5:D64,A37,'November'!F5:F64)+SUMIF('December'!D5:D64,A37,'December'!F5:F64)+SUMIF('January'!D5:D64,A37,'January'!F5:F64)+SUMIF('February'!D5:D64,A37,'February'!F5:F64)+SUMIF('March'!D5:D64,A37,'March'!F5:F64)</f>
        <v/>
      </c>
      <c r="C37" s="22">
        <f>IF(B5&gt;0,B37/B5,0)</f>
        <v/>
      </c>
    </row>
    <row r="38">
      <c r="A38" s="25" t="inlineStr">
        <is>
          <t>Credit Card Payment</t>
        </is>
      </c>
      <c r="B38" s="9">
        <f>SUMIF('April'!D5:D64,A38,'April'!F5:F64)+SUMIF('May'!D5:D64,A38,'May'!F5:F64)+SUMIF('June'!D5:D64,A38,'June'!F5:F64)+SUMIF('July'!D5:D64,A38,'July'!F5:F64)+SUMIF('August'!D5:D64,A38,'August'!F5:F64)+SUMIF('September'!D5:D64,A38,'September'!F5:F64)+SUMIF('October'!D5:D64,A38,'October'!F5:F64)+SUMIF('November'!D5:D64,A38,'November'!F5:F64)+SUMIF('December'!D5:D64,A38,'December'!F5:F64)+SUMIF('January'!D5:D64,A38,'January'!F5:F64)+SUMIF('February'!D5:D64,A38,'February'!F5:F64)+SUMIF('March'!D5:D64,A38,'March'!F5:F64)</f>
        <v/>
      </c>
      <c r="C38" s="22">
        <f>IF(B5&gt;0,B38/B5,0)</f>
        <v/>
      </c>
    </row>
    <row r="39">
      <c r="A39" s="25" t="inlineStr">
        <is>
          <t>Miscellaneous</t>
        </is>
      </c>
      <c r="B39" s="9">
        <f>SUMIF('April'!D5:D64,A39,'April'!F5:F64)+SUMIF('May'!D5:D64,A39,'May'!F5:F64)+SUMIF('June'!D5:D64,A39,'June'!F5:F64)+SUMIF('July'!D5:D64,A39,'July'!F5:F64)+SUMIF('August'!D5:D64,A39,'August'!F5:F64)+SUMIF('September'!D5:D64,A39,'September'!F5:F64)+SUMIF('October'!D5:D64,A39,'October'!F5:F64)+SUMIF('November'!D5:D64,A39,'November'!F5:F64)+SUMIF('December'!D5:D64,A39,'December'!F5:F64)+SUMIF('January'!D5:D64,A39,'January'!F5:F64)+SUMIF('February'!D5:D64,A39,'February'!F5:F64)+SUMIF('March'!D5:D64,A39,'March'!F5:F64)</f>
        <v/>
      </c>
      <c r="C39" s="22">
        <f>IF(B5&gt;0,B39/B5,0)</f>
        <v/>
      </c>
    </row>
    <row r="41" ht="24" customHeight="1">
      <c r="A41" s="2" t="inlineStr">
        <is>
          <t>🔍  DISCRETIONARY INSIGHTS  (excl. Fixed Bills / Investment / Savings)</t>
        </is>
      </c>
    </row>
    <row r="42">
      <c r="A42" s="3" t="inlineStr">
        <is>
          <t>Metric</t>
        </is>
      </c>
      <c r="B42" s="3" t="inlineStr">
        <is>
          <t>Value</t>
        </is>
      </c>
    </row>
    <row r="43" ht="22" customHeight="1">
      <c r="A43" s="17" t="inlineStr">
        <is>
          <t>Avg Monthly Discretionary</t>
        </is>
      </c>
      <c r="B43" s="9">
        <f>I26/12</f>
        <v/>
      </c>
    </row>
    <row r="44" ht="22" customHeight="1">
      <c r="A44" s="17" t="inlineStr">
        <is>
          <t>Avg Daily Discretionary (year)</t>
        </is>
      </c>
      <c r="B44" s="9">
        <f>I26/365</f>
        <v/>
      </c>
    </row>
    <row r="45" ht="22" customHeight="1">
      <c r="A45" s="17" t="inlineStr">
        <is>
          <t>Avg of Monthly Medians</t>
        </is>
      </c>
      <c r="B45" s="9">
        <f>AVERAGE(K14:K25)</f>
        <v/>
      </c>
    </row>
    <row r="46" ht="22" customHeight="1">
      <c r="A46" s="17" t="inlineStr">
        <is>
          <t>Highest Single Txn (full year)</t>
        </is>
      </c>
      <c r="B46" s="9">
        <f>MAX(L14:L25)</f>
        <v/>
      </c>
    </row>
    <row r="47" ht="22" customHeight="1">
      <c r="A47" s="17" t="inlineStr">
        <is>
          <t>Best Month — Savings Rate</t>
        </is>
      </c>
      <c r="B47" s="26">
        <f>INDEX(A14:A25,MATCH(MAX(M14:M25),M14:M25,0))</f>
        <v/>
      </c>
    </row>
    <row r="48" ht="22" customHeight="1">
      <c r="A48" s="17" t="inlineStr">
        <is>
          <t>Worst Month — Savings Rate</t>
        </is>
      </c>
      <c r="B48" s="26">
        <f>INDEX(A14:A25,MATCH(MIN(M14:M25),M14:M25,0))</f>
        <v/>
      </c>
    </row>
    <row r="49" ht="22" customHeight="1">
      <c r="A49" s="17" t="inlineStr">
        <is>
          <t>Best Savings Rate</t>
        </is>
      </c>
      <c r="B49" s="22">
        <f>MAX(M14:M25)</f>
        <v/>
      </c>
    </row>
    <row r="50" ht="22" customHeight="1">
      <c r="A50" s="17" t="inlineStr">
        <is>
          <t>Worst Savings Rate</t>
        </is>
      </c>
      <c r="B50" s="22">
        <f>MIN(M14:M25)</f>
        <v/>
      </c>
    </row>
    <row r="51" ht="22" customHeight="1">
      <c r="A51" s="17" t="inlineStr">
        <is>
          <t>Avg Savings Rate (year)</t>
        </is>
      </c>
      <c r="B51" s="22">
        <f>AVERAGE(M14:M25)</f>
        <v/>
      </c>
    </row>
  </sheetData>
  <mergeCells count="5">
    <mergeCell ref="A1:H1"/>
    <mergeCell ref="A3:H3"/>
    <mergeCell ref="A12:H12"/>
    <mergeCell ref="A28:C28"/>
    <mergeCell ref="A41:D4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Fixed Bills</t>
        </is>
      </c>
      <c r="B1" t="inlineStr">
        <is>
          <t>Salary</t>
        </is>
      </c>
      <c r="C1" t="inlineStr">
        <is>
          <t>Rent / Home Loan EMI</t>
        </is>
      </c>
      <c r="D1" t="inlineStr">
        <is>
          <t>Restaurants</t>
        </is>
      </c>
      <c r="E1" t="inlineStr">
        <is>
          <t>Fuel</t>
        </is>
      </c>
      <c r="F1" t="inlineStr">
        <is>
          <t>Clothing</t>
        </is>
      </c>
      <c r="G1" t="inlineStr">
        <is>
          <t>Movies / Events</t>
        </is>
      </c>
      <c r="H1" t="inlineStr">
        <is>
          <t>Vegetables &amp; Fruits</t>
        </is>
      </c>
      <c r="I1" t="inlineStr">
        <is>
          <t>SIP / Mutual Funds</t>
        </is>
      </c>
      <c r="K1" t="inlineStr">
        <is>
          <t>Full Payment</t>
        </is>
      </c>
      <c r="L1" t="inlineStr">
        <is>
          <t>Medical</t>
        </is>
      </c>
      <c r="N1" t="inlineStr">
        <is>
          <t>April</t>
        </is>
      </c>
      <c r="O1" t="inlineStr">
        <is>
          <t>Rent / Home Loan EMI</t>
        </is>
      </c>
      <c r="P1">
        <f>Setup!A13</f>
        <v/>
      </c>
      <c r="Q1" t="inlineStr">
        <is>
          <t>Salary</t>
        </is>
      </c>
    </row>
    <row r="2">
      <c r="A2" t="inlineStr">
        <is>
          <t>Food &amp; Dining</t>
        </is>
      </c>
      <c r="B2" t="inlineStr">
        <is>
          <t>Savings Account</t>
        </is>
      </c>
      <c r="C2" t="inlineStr">
        <is>
          <t>Electricity</t>
        </is>
      </c>
      <c r="D2" t="inlineStr">
        <is>
          <t>Swiggy / Zomato</t>
        </is>
      </c>
      <c r="E2" t="inlineStr">
        <is>
          <t>Auto / Cab</t>
        </is>
      </c>
      <c r="F2" t="inlineStr">
        <is>
          <t>Electronics</t>
        </is>
      </c>
      <c r="G2" t="inlineStr">
        <is>
          <t>OTT Subscriptions</t>
        </is>
      </c>
      <c r="H2" t="inlineStr">
        <is>
          <t>Dairy</t>
        </is>
      </c>
      <c r="I2" t="inlineStr">
        <is>
          <t>Fixed Deposit</t>
        </is>
      </c>
      <c r="K2" t="inlineStr">
        <is>
          <t>Minimum Due</t>
        </is>
      </c>
      <c r="L2" t="inlineStr">
        <is>
          <t>Education</t>
        </is>
      </c>
      <c r="N2" t="inlineStr">
        <is>
          <t>May</t>
        </is>
      </c>
      <c r="O2" t="inlineStr">
        <is>
          <t>Electricity</t>
        </is>
      </c>
      <c r="P2">
        <f>Setup!A14</f>
        <v/>
      </c>
      <c r="Q2" t="inlineStr">
        <is>
          <t>Cash</t>
        </is>
      </c>
    </row>
    <row r="3">
      <c r="A3" t="inlineStr">
        <is>
          <t>Transport &amp; Fuel</t>
        </is>
      </c>
      <c r="B3" t="inlineStr">
        <is>
          <t>Cash</t>
        </is>
      </c>
      <c r="C3" t="inlineStr">
        <is>
          <t>Internet / WiFi</t>
        </is>
      </c>
      <c r="D3" t="inlineStr">
        <is>
          <t>Cafes</t>
        </is>
      </c>
      <c r="E3" t="inlineStr">
        <is>
          <t>Metro / Bus</t>
        </is>
      </c>
      <c r="F3" t="inlineStr">
        <is>
          <t>Home &amp; Decor</t>
        </is>
      </c>
      <c r="G3" t="inlineStr">
        <is>
          <t>Gaming</t>
        </is>
      </c>
      <c r="H3" t="inlineStr">
        <is>
          <t>Supermarket</t>
        </is>
      </c>
      <c r="I3" t="inlineStr">
        <is>
          <t>Gold / Others</t>
        </is>
      </c>
      <c r="K3" t="inlineStr">
        <is>
          <t>Partial Payment</t>
        </is>
      </c>
      <c r="L3" t="inlineStr">
        <is>
          <t>Gifts</t>
        </is>
      </c>
      <c r="N3" t="inlineStr">
        <is>
          <t>June</t>
        </is>
      </c>
      <c r="O3" t="inlineStr">
        <is>
          <t>Internet / WiFi</t>
        </is>
      </c>
      <c r="P3">
        <f>Setup!A15</f>
        <v/>
      </c>
      <c r="Q3" t="inlineStr">
        <is>
          <t>UPI</t>
        </is>
      </c>
    </row>
    <row r="4">
      <c r="A4" t="inlineStr">
        <is>
          <t>Shopping &amp; Clothing</t>
        </is>
      </c>
      <c r="B4" t="inlineStr">
        <is>
          <t>UPI</t>
        </is>
      </c>
      <c r="C4" t="inlineStr">
        <is>
          <t>Mobile Recharge</t>
        </is>
      </c>
      <c r="D4" t="inlineStr">
        <is>
          <t>Street Food</t>
        </is>
      </c>
      <c r="E4" t="inlineStr">
        <is>
          <t>Parking</t>
        </is>
      </c>
      <c r="F4" t="inlineStr">
        <is>
          <t>Online Shopping</t>
        </is>
      </c>
      <c r="G4" t="inlineStr">
        <is>
          <t>Other</t>
        </is>
      </c>
      <c r="H4" t="inlineStr">
        <is>
          <t>Kirana Store</t>
        </is>
      </c>
      <c r="I4" t="inlineStr">
        <is>
          <t>Stocks</t>
        </is>
      </c>
      <c r="L4" t="inlineStr">
        <is>
          <t>Charity</t>
        </is>
      </c>
      <c r="N4" t="inlineStr">
        <is>
          <t>July</t>
        </is>
      </c>
      <c r="O4" t="inlineStr">
        <is>
          <t>Mobile Recharge</t>
        </is>
      </c>
      <c r="P4">
        <f>Setup!A16</f>
        <v/>
      </c>
      <c r="Q4">
        <f>Setup!A13</f>
        <v/>
      </c>
    </row>
    <row r="5">
      <c r="A5" t="inlineStr">
        <is>
          <t>Entertainment &amp; OTT</t>
        </is>
      </c>
      <c r="B5" t="inlineStr">
        <is>
          <t>Credit Card</t>
        </is>
      </c>
      <c r="C5" t="inlineStr">
        <is>
          <t>OTT Subscriptions</t>
        </is>
      </c>
      <c r="D5" t="inlineStr">
        <is>
          <t>Other</t>
        </is>
      </c>
      <c r="E5" t="inlineStr">
        <is>
          <t>Vehicle Maintenance</t>
        </is>
      </c>
      <c r="F5" t="inlineStr">
        <is>
          <t>Other</t>
        </is>
      </c>
      <c r="H5" t="inlineStr">
        <is>
          <t>Other</t>
        </is>
      </c>
      <c r="I5" t="inlineStr">
        <is>
          <t>PPF / NPS</t>
        </is>
      </c>
      <c r="L5" t="inlineStr">
        <is>
          <t>Other</t>
        </is>
      </c>
      <c r="N5" t="inlineStr">
        <is>
          <t>August</t>
        </is>
      </c>
      <c r="O5" t="inlineStr">
        <is>
          <t>OTT Subscriptions</t>
        </is>
      </c>
      <c r="P5">
        <f>Setup!A17</f>
        <v/>
      </c>
      <c r="Q5">
        <f>Setup!A14</f>
        <v/>
      </c>
    </row>
    <row r="6">
      <c r="A6" t="inlineStr">
        <is>
          <t>Groceries</t>
        </is>
      </c>
      <c r="C6" t="inlineStr">
        <is>
          <t>Insurance Premium</t>
        </is>
      </c>
      <c r="E6" t="inlineStr">
        <is>
          <t>Other</t>
        </is>
      </c>
      <c r="I6" t="inlineStr">
        <is>
          <t>Other Investment</t>
        </is>
      </c>
      <c r="N6" t="inlineStr">
        <is>
          <t>September</t>
        </is>
      </c>
      <c r="O6" t="inlineStr">
        <is>
          <t>Insurance Premium</t>
        </is>
      </c>
      <c r="Q6">
        <f>Setup!A15</f>
        <v/>
      </c>
    </row>
    <row r="7">
      <c r="A7" t="inlineStr">
        <is>
          <t>Investment</t>
        </is>
      </c>
      <c r="C7" t="inlineStr">
        <is>
          <t>Gym / Fitness</t>
        </is>
      </c>
      <c r="N7" t="inlineStr">
        <is>
          <t>October</t>
        </is>
      </c>
      <c r="O7" t="inlineStr">
        <is>
          <t>Gym / Fitness</t>
        </is>
      </c>
      <c r="Q7">
        <f>Setup!A16</f>
        <v/>
      </c>
    </row>
    <row r="8">
      <c r="A8" t="inlineStr">
        <is>
          <t>Added to Savings</t>
        </is>
      </c>
      <c r="C8" t="inlineStr">
        <is>
          <t>Other Bill</t>
        </is>
      </c>
      <c r="N8" t="inlineStr">
        <is>
          <t>November</t>
        </is>
      </c>
      <c r="O8" t="inlineStr">
        <is>
          <t>Other Bill</t>
        </is>
      </c>
      <c r="Q8">
        <f>Setup!A17</f>
        <v/>
      </c>
    </row>
    <row r="9">
      <c r="A9" t="inlineStr">
        <is>
          <t>Credit Card Payment</t>
        </is>
      </c>
      <c r="N9" t="inlineStr">
        <is>
          <t>December</t>
        </is>
      </c>
      <c r="O9" t="inlineStr">
        <is>
          <t>Restaurants</t>
        </is>
      </c>
    </row>
    <row r="10">
      <c r="A10" t="inlineStr">
        <is>
          <t>Miscellaneous</t>
        </is>
      </c>
      <c r="N10" t="inlineStr">
        <is>
          <t>January</t>
        </is>
      </c>
      <c r="O10" t="inlineStr">
        <is>
          <t>Swiggy / Zomato</t>
        </is>
      </c>
    </row>
    <row r="11">
      <c r="N11" t="inlineStr">
        <is>
          <t>February</t>
        </is>
      </c>
      <c r="O11" t="inlineStr">
        <is>
          <t>Cafes</t>
        </is>
      </c>
    </row>
    <row r="12">
      <c r="N12" t="inlineStr">
        <is>
          <t>March</t>
        </is>
      </c>
      <c r="O12" t="inlineStr">
        <is>
          <t>Street Food</t>
        </is>
      </c>
    </row>
    <row r="13">
      <c r="O13" t="inlineStr">
        <is>
          <t>Other</t>
        </is>
      </c>
    </row>
    <row r="14">
      <c r="O14" t="inlineStr">
        <is>
          <t>Fuel</t>
        </is>
      </c>
    </row>
    <row r="15">
      <c r="O15" t="inlineStr">
        <is>
          <t>Auto / Cab</t>
        </is>
      </c>
    </row>
    <row r="16">
      <c r="O16" t="inlineStr">
        <is>
          <t>Metro / Bus</t>
        </is>
      </c>
    </row>
    <row r="17">
      <c r="O17" t="inlineStr">
        <is>
          <t>Parking</t>
        </is>
      </c>
    </row>
    <row r="18">
      <c r="O18" t="inlineStr">
        <is>
          <t>Vehicle Maintenance</t>
        </is>
      </c>
    </row>
    <row r="19">
      <c r="O19" t="inlineStr">
        <is>
          <t>Clothing</t>
        </is>
      </c>
    </row>
    <row r="20">
      <c r="O20" t="inlineStr">
        <is>
          <t>Electronics</t>
        </is>
      </c>
    </row>
    <row r="21">
      <c r="O21" t="inlineStr">
        <is>
          <t>Home &amp; Decor</t>
        </is>
      </c>
    </row>
    <row r="22">
      <c r="O22" t="inlineStr">
        <is>
          <t>Online Shopping</t>
        </is>
      </c>
    </row>
    <row r="23">
      <c r="O23" t="inlineStr">
        <is>
          <t>Movies / Events</t>
        </is>
      </c>
    </row>
    <row r="24">
      <c r="O24" t="inlineStr">
        <is>
          <t>Gaming</t>
        </is>
      </c>
    </row>
    <row r="25">
      <c r="O25" t="inlineStr">
        <is>
          <t>Vegetables &amp; Fruits</t>
        </is>
      </c>
    </row>
    <row r="26">
      <c r="O26" t="inlineStr">
        <is>
          <t>Dairy</t>
        </is>
      </c>
    </row>
    <row r="27">
      <c r="O27" t="inlineStr">
        <is>
          <t>Supermarket</t>
        </is>
      </c>
    </row>
    <row r="28">
      <c r="O28" t="inlineStr">
        <is>
          <t>Kirana Store</t>
        </is>
      </c>
    </row>
    <row r="29">
      <c r="O29" t="inlineStr">
        <is>
          <t>SIP / Mutual Funds</t>
        </is>
      </c>
    </row>
    <row r="30">
      <c r="O30" t="inlineStr">
        <is>
          <t>Fixed Deposit</t>
        </is>
      </c>
    </row>
    <row r="31">
      <c r="O31" t="inlineStr">
        <is>
          <t>Gold / Others</t>
        </is>
      </c>
    </row>
    <row r="32">
      <c r="O32" t="inlineStr">
        <is>
          <t>Stocks</t>
        </is>
      </c>
    </row>
    <row r="33">
      <c r="O33" t="inlineStr">
        <is>
          <t>PPF / NPS</t>
        </is>
      </c>
    </row>
    <row r="34">
      <c r="O34" t="inlineStr">
        <is>
          <t>Other Investment</t>
        </is>
      </c>
    </row>
    <row r="35">
      <c r="O35" t="inlineStr">
        <is>
          <t>Full Payment</t>
        </is>
      </c>
    </row>
    <row r="36">
      <c r="O36" t="inlineStr">
        <is>
          <t>Minimum Due</t>
        </is>
      </c>
    </row>
    <row r="37">
      <c r="O37" t="inlineStr">
        <is>
          <t>Partial Payment</t>
        </is>
      </c>
    </row>
    <row r="38">
      <c r="O38" t="inlineStr">
        <is>
          <t>Medical</t>
        </is>
      </c>
    </row>
    <row r="39">
      <c r="O39" t="inlineStr">
        <is>
          <t>Education</t>
        </is>
      </c>
    </row>
    <row r="40">
      <c r="O40" t="inlineStr">
        <is>
          <t>Gifts</t>
        </is>
      </c>
    </row>
    <row r="41">
      <c r="O41" t="inlineStr">
        <is>
          <t>Charity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2026-06-10T21:00:54Z</dcterms:created>
  <dcterms:modified xmlns:dcterms="http://purl.org/dc/terms/" xmlns:xsi="http://www.w3.org/2001/XMLSchema-instance" xsi:type="dcterms:W3CDTF">2026-06-10T21:00:54Z</dcterms:modified>
</cp:coreProperties>
</file>